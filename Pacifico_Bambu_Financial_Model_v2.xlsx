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duction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Capex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Earn-Loss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8000"/>
      <sz val="11"/>
    </font>
    <font>
      <name val="Arial"/>
      <sz val="10"/>
    </font>
    <font>
      <name val="Arial"/>
      <color rgb="000000FF"/>
      <sz val="10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wrapText="1"/>
    </xf>
    <xf numFmtId="3" fontId="3" fillId="4" borderId="1" pivotButton="0" quotePrefix="0" xfId="0"/>
    <xf numFmtId="164" fontId="3" fillId="4" borderId="1" pivotButton="0" quotePrefix="0" xfId="0"/>
    <xf numFmtId="4" fontId="3" fillId="4" borderId="1" pivotButton="0" quotePrefix="0" xfId="0"/>
    <xf numFmtId="1" fontId="3" fillId="4" borderId="1" pivotButton="0" quotePrefix="0" xfId="0"/>
    <xf numFmtId="0" fontId="4" fillId="2" borderId="1" applyAlignment="1" pivotButton="0" quotePrefix="0" xfId="0">
      <alignment horizontal="center" wrapText="1"/>
    </xf>
    <xf numFmtId="1" fontId="5" fillId="0" borderId="1" pivotButton="0" quotePrefix="0" xfId="0"/>
    <xf numFmtId="3" fontId="5" fillId="0" borderId="1" pivotButton="0" quotePrefix="0" xfId="0"/>
    <xf numFmtId="3" fontId="2" fillId="0" borderId="1" pivotButton="0" quotePrefix="0" xfId="0"/>
    <xf numFmtId="1" fontId="2" fillId="0" borderId="1" pivotButton="0" quotePrefix="0" xfId="0"/>
    <xf numFmtId="3" fontId="3" fillId="0" borderId="1" pivotButton="0" quotePrefix="0" xfId="0"/>
    <xf numFmtId="3" fontId="6" fillId="0" borderId="1" pivotButton="0" quotePrefix="0" xfId="0"/>
    <xf numFmtId="0" fontId="4" fillId="2" borderId="1" pivotButton="0" quotePrefix="0" xfId="0"/>
    <xf numFmtId="165" fontId="2" fillId="0" borderId="1" pivotButton="0" quotePrefix="0" xfId="0"/>
    <xf numFmtId="0" fontId="5" fillId="0" borderId="1" pivotButton="0" quotePrefix="0" xfId="0"/>
    <xf numFmtId="165" fontId="5" fillId="0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KEY PARAMETERS</t>
        </is>
      </c>
    </row>
    <row r="2">
      <c r="A2" s="2" t="inlineStr">
        <is>
          <t>Pole Price (MXN, FOB farm)</t>
        </is>
      </c>
      <c r="B2" s="3" t="n">
        <v>400</v>
      </c>
    </row>
    <row r="3">
      <c r="A3" s="2" t="inlineStr">
        <is>
          <t>Wastage %</t>
        </is>
      </c>
      <c r="B3" s="4" t="n">
        <v>0.15</v>
      </c>
    </row>
    <row r="4">
      <c r="A4" s="2" t="inlineStr">
        <is>
          <t>Yield yr5 (poles/ha)</t>
        </is>
      </c>
      <c r="B4" s="3" t="n">
        <v>350</v>
      </c>
      <c r="C4" t="inlineStr">
        <is>
          <t>Year 5 first production (25% of mature)</t>
        </is>
      </c>
    </row>
    <row r="5">
      <c r="A5" s="2" t="inlineStr">
        <is>
          <t>Yield yr6 (poles/ha)</t>
        </is>
      </c>
      <c r="B5" s="3" t="n">
        <v>700</v>
      </c>
      <c r="C5" t="inlineStr">
        <is>
          <t>Year 6 scaling (50% of mature)</t>
        </is>
      </c>
    </row>
    <row r="6">
      <c r="A6" s="2" t="inlineStr">
        <is>
          <t>Yield yr7+ (BASE: 1,400/ha)</t>
        </is>
      </c>
      <c r="B6" s="3" t="n">
        <v>1400</v>
      </c>
      <c r="C6" t="inlineStr">
        <is>
          <t>⚠ CONSERVATIVE BASE (range: 1,000-2,000-3,000)</t>
        </is>
      </c>
    </row>
    <row r="7">
      <c r="A7" s="2" t="inlineStr">
        <is>
          <t>Carbon Credit Rate (USD/ha/yr)</t>
        </is>
      </c>
      <c r="B7" s="5" t="n">
        <v>21</v>
      </c>
    </row>
    <row r="8">
      <c r="A8" s="2" t="inlineStr">
        <is>
          <t>FX Rate (MXN/USD)</t>
        </is>
      </c>
      <c r="B8" s="5" t="n">
        <v>17</v>
      </c>
    </row>
    <row r="9">
      <c r="A9" s="2" t="inlineStr">
        <is>
          <t>Bridge Round (MXN, 2026)</t>
        </is>
      </c>
      <c r="B9" s="3" t="n">
        <v>2000000</v>
      </c>
    </row>
    <row r="10">
      <c r="A10" s="2" t="inlineStr">
        <is>
          <t>Seed Round (MXN, 2028)</t>
        </is>
      </c>
      <c r="B10" s="3" t="n">
        <v>3000000</v>
      </c>
    </row>
    <row r="11">
      <c r="A11" s="2" t="inlineStr">
        <is>
          <t>Major Funding Year</t>
        </is>
      </c>
      <c r="B11" s="6" t="n">
        <v>2028</v>
      </c>
    </row>
    <row r="12">
      <c r="A12" s="2" t="inlineStr">
        <is>
          <t>Mgmt Salary Base (MXN/month)</t>
        </is>
      </c>
      <c r="B12" s="3" t="n">
        <v>50000</v>
      </c>
    </row>
    <row r="13">
      <c r="A13" s="2" t="inlineStr">
        <is>
          <t>Mgmt Salary Growth %/yr</t>
        </is>
      </c>
      <c r="B13" s="4" t="n">
        <v>0.1</v>
      </c>
    </row>
    <row r="14">
      <c r="A14" s="2" t="inlineStr">
        <is>
          <t>Worker Day Rate (MXN)</t>
        </is>
      </c>
      <c r="B14" s="3" t="n">
        <v>450</v>
      </c>
    </row>
    <row r="15">
      <c r="A15" s="2" t="inlineStr">
        <is>
          <t>Supervisor Day Rate (MXN)</t>
        </is>
      </c>
      <c r="B15" s="3" t="n">
        <v>900</v>
      </c>
    </row>
    <row r="16">
      <c r="A16" s="2" t="inlineStr">
        <is>
          <t>Working Days/Month</t>
        </is>
      </c>
      <c r="B16" s="3" t="n">
        <v>26</v>
      </c>
    </row>
    <row r="17">
      <c r="A17" s="2" t="inlineStr">
        <is>
          <t>Seedling Price External (MXN)</t>
        </is>
      </c>
      <c r="B17" s="3" t="n">
        <v>35</v>
      </c>
    </row>
    <row r="18">
      <c r="A18" s="2" t="inlineStr">
        <is>
          <t>Seedling Price Internal (MXN)</t>
        </is>
      </c>
      <c r="B18" s="3" t="n">
        <v>10</v>
      </c>
    </row>
    <row r="19">
      <c r="A19" s="2" t="inlineStr">
        <is>
          <t>Seedlings per Ha</t>
        </is>
      </c>
      <c r="B19" s="3" t="n">
        <v>500</v>
      </c>
    </row>
    <row r="20">
      <c r="A20" s="2" t="inlineStr">
        <is>
          <t>Dividend Start Year</t>
        </is>
      </c>
      <c r="B20" s="6" t="n">
        <v>2030</v>
      </c>
    </row>
    <row r="21">
      <c r="A21" s="2" t="inlineStr">
        <is>
          <t>SG&amp;A Growth Rate %/yr</t>
        </is>
      </c>
      <c r="B21" s="4" t="n">
        <v>0.1</v>
      </c>
    </row>
    <row r="23">
      <c r="A23" s="1" t="inlineStr">
        <is>
          <t>OWNERSHIP STRUCTURE</t>
        </is>
      </c>
    </row>
    <row r="24">
      <c r="A24" s="2" t="inlineStr">
        <is>
          <t>Investor</t>
        </is>
      </c>
      <c r="B24" s="4" t="n">
        <v>0.25</v>
      </c>
    </row>
    <row r="25">
      <c r="A25" s="2" t="inlineStr">
        <is>
          <t>Ofir</t>
        </is>
      </c>
      <c r="B25" s="4" t="n">
        <v>0.15</v>
      </c>
    </row>
    <row r="26">
      <c r="A26" s="2" t="inlineStr">
        <is>
          <t>Rick</t>
        </is>
      </c>
      <c r="B26" s="4" t="n">
        <v>0.2</v>
      </c>
    </row>
    <row r="27">
      <c r="A27" s="2" t="inlineStr">
        <is>
          <t>Juan</t>
        </is>
      </c>
      <c r="B27" s="4" t="n">
        <v>0.2</v>
      </c>
    </row>
    <row r="28">
      <c r="A28" s="2" t="inlineStr">
        <is>
          <t>Diego</t>
        </is>
      </c>
      <c r="B28" s="4" t="n">
        <v>0.2</v>
      </c>
    </row>
    <row r="30">
      <c r="A30" s="1" t="inlineStr">
        <is>
          <t>PLANTING SCHEDULE</t>
        </is>
      </c>
    </row>
    <row r="31">
      <c r="A31" s="7" t="inlineStr">
        <is>
          <t>Year</t>
        </is>
      </c>
      <c r="B31" s="7" t="inlineStr">
        <is>
          <t>New Ha Planted</t>
        </is>
      </c>
      <c r="C31" s="7" t="inlineStr">
        <is>
          <t>Cumulative Ha</t>
        </is>
      </c>
    </row>
    <row r="32">
      <c r="A32" s="8" t="n">
        <v>2021</v>
      </c>
      <c r="B32" s="3" t="n">
        <v>10</v>
      </c>
      <c r="C32" s="9" t="n">
        <v>10</v>
      </c>
    </row>
    <row r="33">
      <c r="A33" s="8" t="n">
        <v>2026</v>
      </c>
      <c r="B33" s="3" t="n">
        <v>0</v>
      </c>
      <c r="C33" s="9">
        <f>C32+B33</f>
        <v/>
      </c>
    </row>
    <row r="34">
      <c r="A34" s="8" t="n">
        <v>2027</v>
      </c>
      <c r="B34" s="3" t="n">
        <v>15</v>
      </c>
      <c r="C34" s="9">
        <f>C33+B34</f>
        <v/>
      </c>
    </row>
    <row r="35">
      <c r="A35" s="8" t="n">
        <v>2028</v>
      </c>
      <c r="B35" s="3" t="n">
        <v>15</v>
      </c>
      <c r="C35" s="9">
        <f>C34+B35</f>
        <v/>
      </c>
    </row>
    <row r="36">
      <c r="A36" s="8" t="n">
        <v>2029</v>
      </c>
      <c r="B36" s="3" t="n">
        <v>10</v>
      </c>
      <c r="C36" s="9">
        <f>C35+B36</f>
        <v/>
      </c>
    </row>
    <row r="37">
      <c r="A37" s="8" t="n">
        <v>2030</v>
      </c>
      <c r="B37" s="3" t="n">
        <v>30</v>
      </c>
      <c r="C37" s="9">
        <f>C36+B37</f>
        <v/>
      </c>
    </row>
    <row r="38">
      <c r="A38" s="8" t="n">
        <v>2031</v>
      </c>
      <c r="B38" s="3" t="n">
        <v>30</v>
      </c>
      <c r="C38" s="9">
        <f>C37+B38</f>
        <v/>
      </c>
    </row>
    <row r="39">
      <c r="A39" s="8" t="n">
        <v>2032</v>
      </c>
      <c r="B39" s="3" t="n">
        <v>0</v>
      </c>
      <c r="C39" s="9">
        <f>C38+B39</f>
        <v/>
      </c>
    </row>
    <row r="40">
      <c r="A40" s="19" t="n">
        <v>2033</v>
      </c>
      <c r="B40" s="20" t="n">
        <v>0</v>
      </c>
      <c r="C40">
        <f>C39+B40</f>
        <v/>
      </c>
    </row>
    <row r="41">
      <c r="A41" s="2" t="inlineStr">
        <is>
          <t>TOTAL</t>
        </is>
      </c>
      <c r="B41" s="10">
        <f>SUM(B32:B40)</f>
        <v/>
      </c>
      <c r="C41" s="10">
        <f>C39</f>
        <v/>
      </c>
    </row>
    <row r="42"/>
    <row r="43">
      <c r="A43" s="1" t="inlineStr">
        <is>
          <t>CAPEX ITEMS</t>
        </is>
      </c>
    </row>
    <row r="44">
      <c r="A44" s="7" t="inlineStr">
        <is>
          <t>Item</t>
        </is>
      </c>
      <c r="B44" s="7" t="inlineStr">
        <is>
          <t>Amount (MXN)</t>
        </is>
      </c>
      <c r="C44" s="7" t="inlineStr">
        <is>
          <t>Year</t>
        </is>
      </c>
    </row>
    <row r="45">
      <c r="A45" s="2" t="inlineStr">
        <is>
          <t>Land Title Regularization</t>
        </is>
      </c>
      <c r="B45" s="3" t="n">
        <v>38000</v>
      </c>
      <c r="C45" s="6" t="n">
        <v>2026</v>
      </c>
    </row>
    <row r="46">
      <c r="A46" s="2" t="inlineStr">
        <is>
          <t>Truck (main vehicle)</t>
        </is>
      </c>
      <c r="B46" s="3" t="n">
        <v>1500000</v>
      </c>
      <c r="C46" s="6" t="n">
        <v>2032</v>
      </c>
    </row>
    <row r="47">
      <c r="A47" s="2" t="inlineStr">
        <is>
          <t>Small Bodega (10ha, drying)</t>
        </is>
      </c>
      <c r="B47" s="3" t="n">
        <v>130000</v>
      </c>
      <c r="C47" s="6" t="n">
        <v>2026</v>
      </c>
    </row>
    <row r="48">
      <c r="A48" s="2" t="inlineStr">
        <is>
          <t>Warehouse Expansion (Azulillo)</t>
        </is>
      </c>
      <c r="B48" s="3" t="n">
        <v>130000</v>
      </c>
      <c r="C48" s="6" t="n">
        <v>2029</v>
      </c>
    </row>
    <row r="49">
      <c r="A49" s="2" t="inlineStr">
        <is>
          <t>Warehouse Phase 2 (Zapotal)</t>
        </is>
      </c>
      <c r="B49" s="3" t="n">
        <v>130000</v>
      </c>
      <c r="C49" s="6" t="n">
        <v>2031</v>
      </c>
    </row>
    <row r="50">
      <c r="A50" s="2" t="inlineStr">
        <is>
          <t>Bamboo Cabin + Kitchen</t>
        </is>
      </c>
      <c r="B50" s="3" t="n">
        <v>120000</v>
      </c>
      <c r="C50" s="6" t="n">
        <v>2029</v>
      </c>
    </row>
    <row r="51">
      <c r="A51" s="2" t="inlineStr">
        <is>
          <t>Pickup #1</t>
        </is>
      </c>
      <c r="B51" s="3" t="n">
        <v>750000</v>
      </c>
      <c r="C51" s="6" t="n">
        <v>2033</v>
      </c>
    </row>
    <row r="52">
      <c r="A52" s="2" t="inlineStr">
        <is>
          <t>Road Improvements (for scale)</t>
        </is>
      </c>
      <c r="B52" s="3" t="n">
        <v>500000</v>
      </c>
      <c r="C52" s="6" t="n">
        <v>2029</v>
      </c>
    </row>
    <row r="53">
      <c r="A53" s="2" t="inlineStr">
        <is>
          <t>Pickup #2</t>
        </is>
      </c>
      <c r="B53" s="3" t="n">
        <v>750000</v>
      </c>
      <c r="C53" s="6" t="n">
        <v>2034</v>
      </c>
    </row>
    <row r="54">
      <c r="A54" s="2" t="inlineStr">
        <is>
          <t>Nursery Infrastructure (basic)</t>
        </is>
      </c>
      <c r="B54" s="3" t="n">
        <v>150000</v>
      </c>
      <c r="C54" s="6" t="n">
        <v>2028</v>
      </c>
    </row>
    <row r="55">
      <c r="A55" s="2" t="inlineStr">
        <is>
          <t>Showroom / Offices</t>
        </is>
      </c>
      <c r="B55" s="3" t="n">
        <v>500000</v>
      </c>
      <c r="C55" s="6" t="n">
        <v>2032</v>
      </c>
    </row>
    <row r="56">
      <c r="A56" s="2" t="inlineStr">
        <is>
          <t>ICC-ES Certification (1yr before full maturity)</t>
        </is>
      </c>
      <c r="B56" s="3" t="n">
        <v>2500000</v>
      </c>
      <c r="C56" s="6" t="n">
        <v>2037</v>
      </c>
    </row>
    <row r="57">
      <c r="A57" s="2" t="inlineStr">
        <is>
          <t>Big Bodega (near road)</t>
        </is>
      </c>
      <c r="B57" s="10" t="n">
        <v>1300000</v>
      </c>
      <c r="C57" t="n">
        <v>2034</v>
      </c>
    </row>
    <row r="58">
      <c r="A58" t="inlineStr">
        <is>
          <t>TOTAL CAPEX</t>
        </is>
      </c>
      <c r="B58">
        <f>SUM(B45:B57)</f>
        <v/>
      </c>
    </row>
    <row r="59">
      <c r="A59" s="1" t="n"/>
    </row>
    <row r="60">
      <c r="A60" s="18" t="n"/>
      <c r="B60" s="3" t="n"/>
    </row>
    <row r="61">
      <c r="A61" s="18" t="n"/>
      <c r="B61" s="3" t="n"/>
    </row>
    <row r="62">
      <c r="A62" s="18" t="n"/>
      <c r="B62" s="3" t="n"/>
    </row>
    <row r="63">
      <c r="A63" s="18" t="n"/>
      <c r="B63" s="3" t="n"/>
    </row>
    <row r="64">
      <c r="A64" s="18" t="n"/>
      <c r="B64" s="3" t="n"/>
    </row>
    <row r="65">
      <c r="A65" s="18" t="n"/>
      <c r="B65" s="3" t="n"/>
    </row>
    <row r="66">
      <c r="A66" s="18" t="n"/>
      <c r="B66" s="3" t="n"/>
    </row>
    <row r="68">
      <c r="A68" s="18" t="n"/>
      <c r="B68" s="9" t="n"/>
    </row>
    <row r="69">
      <c r="A69" s="18" t="n"/>
      <c r="B69" s="9" t="n"/>
    </row>
    <row r="72">
      <c r="A72" s="21" t="inlineStr">
        <is>
          <t>WORKFORCE MODEL</t>
        </is>
      </c>
    </row>
    <row r="73">
      <c r="A73" s="22" t="inlineStr">
        <is>
          <t>Parameter</t>
        </is>
      </c>
      <c r="B73" s="22" t="inlineStr">
        <is>
          <t>Value</t>
        </is>
      </c>
      <c r="C73" s="22" t="inlineStr">
        <is>
          <t>Notes</t>
        </is>
      </c>
    </row>
    <row r="74">
      <c r="A74" s="23" t="inlineStr">
        <is>
          <t>Workers per team</t>
        </is>
      </c>
      <c r="B74" s="23" t="n">
        <v>2</v>
      </c>
      <c r="C74" s="23" t="inlineStr">
        <is>
          <t>Internal team size</t>
        </is>
      </c>
    </row>
    <row r="75">
      <c r="A75" s="23" t="inlineStr">
        <is>
          <t>Working days/year</t>
        </is>
      </c>
      <c r="B75" s="23">
        <f>B16*12</f>
        <v/>
      </c>
      <c r="C75" s="23" t="inlineStr">
        <is>
          <t>6 days × 52 weeks</t>
        </is>
      </c>
    </row>
    <row r="76">
      <c r="A76" s="23" t="inlineStr">
        <is>
          <t>Annual cost per team (MXN)</t>
        </is>
      </c>
      <c r="B76" s="23">
        <f>B74*B14*B16*12</f>
        <v/>
      </c>
      <c r="C76" s="23" t="inlineStr">
        <is>
          <t>2 × 450 × 26 × 12</t>
        </is>
      </c>
    </row>
    <row r="77">
      <c r="A77" s="23" t="inlineStr">
        <is>
          <t>Hectares per maintenance team</t>
        </is>
      </c>
      <c r="B77" s="23" t="n">
        <v>25</v>
      </c>
      <c r="C77" s="23" t="inlineStr">
        <is>
          <t>1 team handles 25 ha</t>
        </is>
      </c>
    </row>
    <row r="78">
      <c r="A78" s="23" t="inlineStr">
        <is>
          <t>Establishment time per ha (days)</t>
        </is>
      </c>
      <c r="B78" s="23" t="n">
        <v>36</v>
      </c>
      <c r="C78" s="23" t="inlineStr">
        <is>
          <t>After external clearing</t>
        </is>
      </c>
    </row>
    <row r="80">
      <c r="A80" s="21" t="inlineStr">
        <is>
          <t>EXTERNAL CLEARING (CONTRACTOR)</t>
        </is>
      </c>
    </row>
    <row r="81">
      <c r="A81" s="22" t="inlineStr">
        <is>
          <t>Parameter</t>
        </is>
      </c>
      <c r="B81" s="22" t="inlineStr">
        <is>
          <t>Value</t>
        </is>
      </c>
      <c r="C81" s="22" t="inlineStr">
        <is>
          <t>Notes</t>
        </is>
      </c>
    </row>
    <row r="82">
      <c r="A82" s="23" t="inlineStr">
        <is>
          <t>Cost per ha cleared (MXN)</t>
        </is>
      </c>
      <c r="B82" s="23" t="n">
        <v>10000</v>
      </c>
      <c r="C82" s="23" t="inlineStr">
        <is>
          <t>Outsourced for new land prep</t>
        </is>
      </c>
    </row>
    <row r="83">
      <c r="A83" s="23" t="inlineStr">
        <is>
          <t>Time saved per ha (days)</t>
        </is>
      </c>
      <c r="B83" s="23" t="n">
        <v>24</v>
      </c>
      <c r="C83" s="23" t="inlineStr">
        <is>
          <t>4 weeks of clearing</t>
        </is>
      </c>
    </row>
    <row r="85">
      <c r="A85" s="21" t="inlineStr">
        <is>
          <t>PER-HECTARE MATERIALS (one-time)</t>
        </is>
      </c>
    </row>
    <row r="86">
      <c r="A86" s="22" t="inlineStr">
        <is>
          <t>Parameter</t>
        </is>
      </c>
      <c r="B86" s="22" t="inlineStr">
        <is>
          <t>Value</t>
        </is>
      </c>
      <c r="C86" s="22" t="inlineStr">
        <is>
          <t>Notes</t>
        </is>
      </c>
    </row>
    <row r="87">
      <c r="A87" s="23" t="inlineStr">
        <is>
          <t>Water pipes/ha (MXN)</t>
        </is>
      </c>
      <c r="B87" s="23" t="n">
        <v>3000</v>
      </c>
      <c r="C87" s="23" t="inlineStr">
        <is>
          <t>Pipes for irrigation</t>
        </is>
      </c>
    </row>
    <row r="88">
      <c r="A88" s="23" t="inlineStr">
        <is>
          <t>Path materials/ha (MXN)</t>
        </is>
      </c>
      <c r="B88" s="23" t="n">
        <v>3000</v>
      </c>
      <c r="C88" s="23" t="inlineStr">
        <is>
          <t>Light tractor + paths</t>
        </is>
      </c>
    </row>
    <row r="89">
      <c r="A89" s="23" t="inlineStr">
        <is>
          <t>Total materials/ha</t>
        </is>
      </c>
      <c r="B89" s="23">
        <f>B87+B88</f>
        <v/>
      </c>
      <c r="C89" s="23" t="inlineStr">
        <is>
          <t>Excludes seedlings</t>
        </is>
      </c>
    </row>
    <row r="91">
      <c r="A91" s="21" t="inlineStr">
        <is>
          <t>PROCESSING INFRASTRUCTURE</t>
        </is>
      </c>
    </row>
    <row r="92">
      <c r="A92" s="22" t="inlineStr">
        <is>
          <t>Parameter</t>
        </is>
      </c>
      <c r="B92" s="22" t="inlineStr">
        <is>
          <t>Value</t>
        </is>
      </c>
      <c r="C92" s="22" t="inlineStr">
        <is>
          <t>Notes</t>
        </is>
      </c>
    </row>
    <row r="93">
      <c r="A93" s="23" t="inlineStr">
        <is>
          <t>Pool capacity (poles/batch)</t>
        </is>
      </c>
      <c r="B93" s="23" t="n">
        <v>50</v>
      </c>
      <c r="C93" s="23" t="inlineStr">
        <is>
          <t>Simultaneous capacity</t>
        </is>
      </c>
    </row>
    <row r="94">
      <c r="A94" s="23" t="inlineStr">
        <is>
          <t>Pool batch days</t>
        </is>
      </c>
      <c r="B94" s="23" t="n">
        <v>7</v>
      </c>
      <c r="C94" s="23" t="inlineStr">
        <is>
          <t>Soaking time</t>
        </is>
      </c>
    </row>
    <row r="95">
      <c r="A95" s="23" t="inlineStr">
        <is>
          <t>Pool capacity/year</t>
        </is>
      </c>
      <c r="B95" s="23">
        <f>B93*FLOOR(365/B94,1)</f>
        <v/>
      </c>
      <c r="C95" s="23" t="inlineStr">
        <is>
          <t>~2,400 poles/year/pool</t>
        </is>
      </c>
    </row>
    <row r="96">
      <c r="A96" s="23" t="inlineStr">
        <is>
          <t>Pool cost (MXN)</t>
        </is>
      </c>
      <c r="B96" s="23" t="n">
        <v>60000</v>
      </c>
      <c r="C96" s="23" t="inlineStr">
        <is>
          <t>1.8m × 8m</t>
        </is>
      </c>
    </row>
    <row r="97">
      <c r="A97" s="23" t="inlineStr">
        <is>
          <t>Pool liquids/year (MXN)</t>
        </is>
      </c>
      <c r="B97" s="23" t="n">
        <v>20000</v>
      </c>
      <c r="C97" s="23" t="inlineStr">
        <is>
          <t>Annual chemicals</t>
        </is>
      </c>
    </row>
    <row r="98">
      <c r="A98" s="23" t="inlineStr">
        <is>
          <t>Pools needed per 10 ha (mature)</t>
        </is>
      </c>
      <c r="B98" s="23" t="n">
        <v>4</v>
      </c>
      <c r="C98" s="23" t="inlineStr">
        <is>
          <t>For 10,000 poles/year</t>
        </is>
      </c>
    </row>
    <row r="100">
      <c r="A100" s="21" t="inlineStr">
        <is>
          <t>BODEGAS</t>
        </is>
      </c>
    </row>
    <row r="101">
      <c r="A101" s="22" t="inlineStr">
        <is>
          <t>Parameter</t>
        </is>
      </c>
      <c r="B101" s="22" t="inlineStr">
        <is>
          <t>Value</t>
        </is>
      </c>
      <c r="C101" s="22" t="inlineStr">
        <is>
          <t>Notes</t>
        </is>
      </c>
    </row>
    <row r="102">
      <c r="A102" s="23" t="inlineStr">
        <is>
          <t>Small bodega (per 10 ha)</t>
        </is>
      </c>
      <c r="B102" s="23" t="n">
        <v>130000</v>
      </c>
      <c r="C102" s="23" t="inlineStr">
        <is>
          <t>Capacity 1,000 poles/month</t>
        </is>
      </c>
    </row>
    <row r="103">
      <c r="A103" s="23" t="inlineStr">
        <is>
          <t>Big bodega (near road)</t>
        </is>
      </c>
      <c r="B103" s="23" t="n">
        <v>1300000</v>
      </c>
      <c r="C103" s="23" t="inlineStr">
        <is>
          <t>Central warehouse</t>
        </is>
      </c>
    </row>
    <row r="104">
      <c r="A104" s="23" t="inlineStr">
        <is>
          <t>Big bodega year</t>
        </is>
      </c>
      <c r="B104" s="23" t="n">
        <v>2034</v>
      </c>
      <c r="C104" s="23" t="inlineStr">
        <is>
          <t>When scale demands it</t>
        </is>
      </c>
    </row>
    <row r="106">
      <c r="A106" s="21" t="inlineStr">
        <is>
          <t>SG&amp;A &amp; OVERHEAD</t>
        </is>
      </c>
    </row>
    <row r="107">
      <c r="A107" s="22" t="inlineStr">
        <is>
          <t>Parameter</t>
        </is>
      </c>
      <c r="B107" s="22" t="inlineStr">
        <is>
          <t>Value</t>
        </is>
      </c>
      <c r="C107" s="22" t="inlineStr">
        <is>
          <t>Notes</t>
        </is>
      </c>
    </row>
    <row r="108">
      <c r="A108" s="23" t="inlineStr">
        <is>
          <t>SG&amp;A 2026 base (MXN)</t>
        </is>
      </c>
      <c r="B108" s="23" t="n">
        <v>50000</v>
      </c>
      <c r="C108" s="23" t="inlineStr">
        <is>
          <t>Minimal: phone, basic legal</t>
        </is>
      </c>
    </row>
    <row r="109">
      <c r="A109" s="23" t="inlineStr">
        <is>
          <t>SG&amp;A 2027 (MXN)</t>
        </is>
      </c>
      <c r="B109" s="23" t="n">
        <v>75000</v>
      </c>
      <c r="C109" s="23" t="inlineStr">
        <is>
          <t>Slight growth</t>
        </is>
      </c>
    </row>
    <row r="110">
      <c r="A110" s="23" t="inlineStr">
        <is>
          <t>SG&amp;A 2028 (MXN)</t>
        </is>
      </c>
      <c r="B110" s="23" t="n">
        <v>100000</v>
      </c>
      <c r="C110" s="23" t="inlineStr">
        <is>
          <t>Add accountant</t>
        </is>
      </c>
    </row>
    <row r="111">
      <c r="A111" s="23" t="inlineStr">
        <is>
          <t>SG&amp;A growth from 2029 (%)</t>
        </is>
      </c>
      <c r="B111" s="23" t="n">
        <v>0.1</v>
      </c>
      <c r="C111" s="23" t="inlineStr">
        <is>
          <t>Per year after</t>
        </is>
      </c>
    </row>
    <row r="112">
      <c r="A112" s="23" t="inlineStr">
        <is>
          <t>Mgmt start year</t>
        </is>
      </c>
      <c r="B112" s="23" t="n">
        <v>2029</v>
      </c>
      <c r="C112" s="23" t="inlineStr">
        <is>
          <t>No mgmt salary 2026-28</t>
        </is>
      </c>
    </row>
    <row r="113">
      <c r="A113" s="23" t="inlineStr">
        <is>
          <t>Mgmt monthly (MXN)</t>
        </is>
      </c>
      <c r="B113" s="23" t="n">
        <v>50000</v>
      </c>
      <c r="C113" s="23" t="inlineStr">
        <is>
          <t>Per manager</t>
        </is>
      </c>
    </row>
    <row r="114">
      <c r="A114" s="23" t="inlineStr">
        <is>
          <t>Number of managers</t>
        </is>
      </c>
      <c r="B114" s="23" t="n">
        <v>3</v>
      </c>
      <c r="C114" s="23" t="inlineStr">
        <is>
          <t>Diego, Juan, Ofir</t>
        </is>
      </c>
    </row>
    <row r="116">
      <c r="A116" s="21" t="inlineStr">
        <is>
          <t>NURSERY &amp; CONSULTING</t>
        </is>
      </c>
    </row>
    <row r="117">
      <c r="A117" s="22" t="inlineStr">
        <is>
          <t>Parameter</t>
        </is>
      </c>
      <c r="B117" s="22" t="inlineStr">
        <is>
          <t>Value</t>
        </is>
      </c>
      <c r="C117" s="22" t="inlineStr">
        <is>
          <t>Notes</t>
        </is>
      </c>
    </row>
    <row r="118">
      <c r="A118" s="23" t="inlineStr">
        <is>
          <t>Nursery labor/year (MXN)</t>
        </is>
      </c>
      <c r="B118" s="23" t="n">
        <v>0</v>
      </c>
      <c r="C118" s="23" t="inlineStr">
        <is>
          <t>No nursery costs until 2029</t>
        </is>
      </c>
    </row>
    <row r="119">
      <c r="A119" s="23" t="inlineStr">
        <is>
          <t>Nursery start year</t>
        </is>
      </c>
      <c r="B119" s="23" t="n">
        <v>2029</v>
      </c>
      <c r="C119" s="23" t="inlineStr">
        <is>
          <t>External seedlings until then</t>
        </is>
      </c>
    </row>
    <row r="120">
      <c r="A120" s="23" t="inlineStr">
        <is>
          <t>Consulting/year (MXN)</t>
        </is>
      </c>
      <c r="B120" s="23" t="n">
        <v>60000</v>
      </c>
      <c r="C120" s="23" t="inlineStr">
        <is>
          <t>Light advisory</t>
        </is>
      </c>
    </row>
    <row r="121">
      <c r="A121" s="23" t="inlineStr">
        <is>
          <t>Consulting start year</t>
        </is>
      </c>
      <c r="B121" s="23" t="n">
        <v>2028</v>
      </c>
      <c r="C121" s="23" t="inlineStr">
        <is>
          <t>When complexity grows</t>
        </is>
      </c>
    </row>
    <row r="122">
      <c r="A122" s="23" t="inlineStr">
        <is>
          <t>Carbon verification/year</t>
        </is>
      </c>
      <c r="B122" s="23" t="n">
        <v>50000</v>
      </c>
      <c r="C122" s="23" t="inlineStr">
        <is>
          <t>Verra process</t>
        </is>
      </c>
    </row>
    <row r="123">
      <c r="A123" s="23" t="inlineStr">
        <is>
          <t>Carbon verification start</t>
        </is>
      </c>
      <c r="B123" s="23" t="n">
        <v>2030</v>
      </c>
      <c r="C123" s="23" t="inlineStr">
        <is>
          <t>After plantation matures</t>
        </is>
      </c>
    </row>
    <row r="125">
      <c r="A125" s="21" t="inlineStr">
        <is>
          <t>TRACTOR &amp; LOGISTICS</t>
        </is>
      </c>
    </row>
    <row r="126">
      <c r="A126" s="22" t="inlineStr">
        <is>
          <t>Parameter</t>
        </is>
      </c>
      <c r="B126" s="22" t="inlineStr">
        <is>
          <t>Value</t>
        </is>
      </c>
      <c r="C126" s="22" t="inlineStr">
        <is>
          <t>Notes</t>
        </is>
      </c>
    </row>
    <row r="127">
      <c r="A127" s="23" t="inlineStr">
        <is>
          <t>Tractor cost/ha/year (MXN)</t>
        </is>
      </c>
      <c r="B127" s="23" t="n">
        <v>0</v>
      </c>
      <c r="C127" s="23" t="inlineStr">
        <is>
          <t>Workers do paths manually now</t>
        </is>
      </c>
    </row>
    <row r="128">
      <c r="A128" s="23" t="inlineStr">
        <is>
          <t>Tractor start year</t>
        </is>
      </c>
      <c r="B128" s="23" t="n">
        <v>2030</v>
      </c>
      <c r="C128" s="23" t="inlineStr">
        <is>
          <t>Only at scale</t>
        </is>
      </c>
    </row>
    <row r="129">
      <c r="A129" s="23" t="inlineStr">
        <is>
          <t>Logistics cost per pole (MXN)</t>
        </is>
      </c>
      <c r="B129" s="23" t="n">
        <v>5</v>
      </c>
      <c r="C129" s="23" t="inlineStr">
        <is>
          <t>Transport to buyer</t>
        </is>
      </c>
    </row>
    <row r="131">
      <c r="A131" s="21" t="inlineStr">
        <is>
          <t>BASE 10HA PRODUCTION (SURVEY)</t>
        </is>
      </c>
    </row>
    <row r="132">
      <c r="A132" s="22" t="inlineStr">
        <is>
          <t>Parameter</t>
        </is>
      </c>
      <c r="B132" s="22" t="inlineStr">
        <is>
          <t>Value</t>
        </is>
      </c>
      <c r="C132" s="22" t="inlineStr">
        <is>
          <t>Notes</t>
        </is>
      </c>
    </row>
    <row r="133">
      <c r="A133" s="23" t="inlineStr">
        <is>
          <t>Existing surviving plants</t>
        </is>
      </c>
      <c r="B133" s="23" t="n">
        <v>1500</v>
      </c>
      <c r="C133" s="23" t="inlineStr">
        <is>
          <t>Existing plants on 10 ha (~150/ha)</t>
        </is>
      </c>
    </row>
    <row r="134">
      <c r="A134" s="23" t="inlineStr">
        <is>
          <t>NEW seedlings to plant 2026 (densify)</t>
        </is>
      </c>
      <c r="B134" s="23" t="n">
        <v>3500</v>
      </c>
      <c r="C134" s="23" t="inlineStr">
        <is>
          <t>1500 existing + 3500 new = 5000 (500/ha)</t>
        </is>
      </c>
    </row>
    <row r="135">
      <c r="A135" s="23" t="inlineStr">
        <is>
          <t>2026 production</t>
        </is>
      </c>
      <c r="B135" s="23" t="n">
        <v>100</v>
      </c>
      <c r="C135" s="23" t="inlineStr">
        <is>
          <t>Survey: max sellable</t>
        </is>
      </c>
    </row>
    <row r="136">
      <c r="A136" s="23" t="inlineStr">
        <is>
          <t>2027 production</t>
        </is>
      </c>
      <c r="B136" s="23" t="n">
        <v>1500</v>
      </c>
      <c r="C136" s="23" t="inlineStr">
        <is>
          <t>Survey: real estimate</t>
        </is>
      </c>
    </row>
    <row r="137">
      <c r="A137" s="23" t="inlineStr">
        <is>
          <t>2028 production</t>
        </is>
      </c>
      <c r="B137" s="23" t="n">
        <v>2000</v>
      </c>
      <c r="C137" s="23" t="inlineStr">
        <is>
          <t>Existing 1500 plants in yr5</t>
        </is>
      </c>
    </row>
    <row r="138">
      <c r="A138" s="23" t="inlineStr">
        <is>
          <t>2029 production</t>
        </is>
      </c>
      <c r="B138" s="23" t="n">
        <v>3500</v>
      </c>
      <c r="C138" s="23" t="inlineStr">
        <is>
          <t>Steady state from 1500 existing plants</t>
        </is>
      </c>
    </row>
    <row r="139">
      <c r="A139" s="23" t="inlineStr">
        <is>
          <t>2030 production</t>
        </is>
      </c>
      <c r="B139" s="23" t="n">
        <v>3500</v>
      </c>
      <c r="C139" s="23" t="inlineStr">
        <is>
          <t>Steady state from existing</t>
        </is>
      </c>
    </row>
    <row r="140">
      <c r="A140" s="23" t="inlineStr">
        <is>
          <t>2031+ production</t>
        </is>
      </c>
      <c r="B140" s="23" t="n">
        <v>14000</v>
      </c>
      <c r="C140" s="23" t="inlineStr">
        <is>
          <t>After 2031: ALL 5000 plants mature (1500+3500)</t>
        </is>
      </c>
    </row>
    <row r="142">
      <c r="A142" s="21" t="inlineStr">
        <is>
          <t>LEASED LAND</t>
        </is>
      </c>
    </row>
    <row r="143">
      <c r="A143" s="22" t="inlineStr">
        <is>
          <t>Parameter</t>
        </is>
      </c>
      <c r="B143" s="22" t="inlineStr">
        <is>
          <t>Value</t>
        </is>
      </c>
      <c r="C143" s="22" t="inlineStr">
        <is>
          <t>Notes</t>
        </is>
      </c>
    </row>
    <row r="144">
      <c r="A144" s="23" t="inlineStr">
        <is>
          <t>Lease payment %</t>
        </is>
      </c>
      <c r="B144" s="23" t="n">
        <v>0.1</v>
      </c>
      <c r="C144" s="23" t="inlineStr">
        <is>
          <t>Of profit per leased ha (after expenses)</t>
        </is>
      </c>
    </row>
    <row r="145">
      <c r="A145" s="23" t="inlineStr">
        <is>
          <t>Total leased ha</t>
        </is>
      </c>
      <c r="B145" s="23" t="n">
        <v>60</v>
      </c>
      <c r="C145" s="23" t="inlineStr">
        <is>
          <t>Phase 2 expansion</t>
        </is>
      </c>
    </row>
    <row r="146">
      <c r="A146" s="23" t="inlineStr">
        <is>
          <t>Leased start year</t>
        </is>
      </c>
      <c r="B146" s="23" t="n">
        <v>2030</v>
      </c>
      <c r="C146" s="23" t="inlineStr">
        <is>
          <t>First planting</t>
        </is>
      </c>
    </row>
    <row r="148">
      <c r="A148" s="21" t="inlineStr">
        <is>
          <t>NURSERY SALES (external)</t>
        </is>
      </c>
    </row>
    <row r="149">
      <c r="A149" s="22" t="inlineStr">
        <is>
          <t>Parameter</t>
        </is>
      </c>
      <c r="B149" s="22" t="inlineStr">
        <is>
          <t>Value</t>
        </is>
      </c>
      <c r="C149" s="22" t="inlineStr">
        <is>
          <t>Notes</t>
        </is>
      </c>
    </row>
    <row r="150">
      <c r="A150" s="23" t="inlineStr">
        <is>
          <t>Nursery sales increment/yr</t>
        </is>
      </c>
      <c r="B150" s="23" t="n">
        <v>5000</v>
      </c>
      <c r="C150" s="23" t="inlineStr">
        <is>
          <t>Annual growth</t>
        </is>
      </c>
    </row>
    <row r="151">
      <c r="A151" s="23" t="inlineStr">
        <is>
          <t>Nursery sales start year</t>
        </is>
      </c>
      <c r="B151" s="23" t="n">
        <v>2030</v>
      </c>
      <c r="C151" s="23" t="inlineStr">
        <is>
          <t>When we have surplus</t>
        </is>
      </c>
    </row>
    <row r="152">
      <c r="A152" s="21" t="inlineStr">
        <is>
          <t>MGMT SALARY SCHEDULE (per person/month)</t>
        </is>
      </c>
    </row>
    <row r="153">
      <c r="A153" s="22" t="inlineStr">
        <is>
          <t>Plants per ha (existing, average)</t>
        </is>
      </c>
      <c r="B153" s="22" t="n">
        <v>150</v>
      </c>
      <c r="C153" s="22" t="inlineStr">
        <is>
          <t>1500 plants / 10 ha = 150/ha (vs 500 target)</t>
        </is>
      </c>
    </row>
    <row r="154">
      <c r="A154" s="23" t="n">
        <v>2026</v>
      </c>
      <c r="B154" s="23" t="n">
        <v>0</v>
      </c>
      <c r="C154" s="23" t="inlineStr">
        <is>
          <t>Bootstrap year - sweat equity</t>
        </is>
      </c>
    </row>
    <row r="155">
      <c r="A155" s="23" t="n">
        <v>2027</v>
      </c>
      <c r="B155" s="23" t="n">
        <v>20000</v>
      </c>
      <c r="C155" s="23" t="inlineStr">
        <is>
          <t>Year 1 salary</t>
        </is>
      </c>
    </row>
    <row r="156">
      <c r="A156" s="23" t="n">
        <v>2028</v>
      </c>
      <c r="B156" s="23" t="n">
        <v>25000</v>
      </c>
      <c r="C156" s="23" t="inlineStr">
        <is>
          <t>Year 2 salary</t>
        </is>
      </c>
    </row>
    <row r="157">
      <c r="A157" s="23" t="n">
        <v>2029</v>
      </c>
      <c r="B157" s="23" t="n">
        <v>30000</v>
      </c>
      <c r="C157" s="23" t="inlineStr">
        <is>
          <t>Year 3 - reaches 30K cap</t>
        </is>
      </c>
    </row>
    <row r="158">
      <c r="A158" s="23" t="n">
        <v>2030</v>
      </c>
      <c r="B158" s="23" t="n">
        <v>30000</v>
      </c>
      <c r="C158" s="23" t="inlineStr">
        <is>
          <t>CAP: 30K permanent</t>
        </is>
      </c>
    </row>
    <row r="159">
      <c r="A159" s="23" t="n">
        <v>2031</v>
      </c>
      <c r="B159" s="23" t="n">
        <v>30000</v>
      </c>
      <c r="C159" s="23" t="inlineStr">
        <is>
          <t>CAP: 30K permanent</t>
        </is>
      </c>
    </row>
    <row r="160">
      <c r="A160" s="23" t="n">
        <v>2032</v>
      </c>
      <c r="B160" s="23" t="n">
        <v>30000</v>
      </c>
      <c r="C160" s="23" t="inlineStr">
        <is>
          <t>CAP: 30K — dividends after break-even</t>
        </is>
      </c>
    </row>
    <row r="161">
      <c r="A161" s="23" t="n">
        <v>2033</v>
      </c>
      <c r="B161" s="23" t="n">
        <v>30000</v>
      </c>
      <c r="C161" s="23" t="inlineStr">
        <is>
          <t>CAP: 30K — dividends from profits</t>
        </is>
      </c>
    </row>
    <row r="162">
      <c r="A162" s="23" t="n">
        <v>2034</v>
      </c>
      <c r="B162" s="23" t="n">
        <v>30000</v>
      </c>
      <c r="C162" s="23" t="inlineStr">
        <is>
          <t>CAP: 30K — dividends from profits</t>
        </is>
      </c>
    </row>
    <row r="163">
      <c r="A163" s="23" t="n">
        <v>2035</v>
      </c>
      <c r="B163" s="23" t="n">
        <v>30000</v>
      </c>
      <c r="C163" s="23" t="inlineStr">
        <is>
          <t>CAP: 30K — dividends from profits</t>
        </is>
      </c>
    </row>
    <row r="164">
      <c r="A164" s="23" t="n">
        <v>2036</v>
      </c>
      <c r="B164" s="23" t="n">
        <v>30000</v>
      </c>
      <c r="C164" s="23" t="inlineStr">
        <is>
          <t>CAP: 30K — dividends from profits</t>
        </is>
      </c>
    </row>
    <row r="165">
      <c r="A165" s="23" t="n">
        <v>2037</v>
      </c>
      <c r="B165" s="23" t="n">
        <v>30000</v>
      </c>
      <c r="C165" s="23" t="inlineStr">
        <is>
          <t>CAP: 30K — dividends from profits</t>
        </is>
      </c>
    </row>
    <row r="166">
      <c r="A166" s="23" t="n">
        <v>2038</v>
      </c>
      <c r="B166" s="23" t="n">
        <v>30000</v>
      </c>
      <c r="C166" s="23" t="inlineStr">
        <is>
          <t>CAP: 30K — dividends from profits</t>
        </is>
      </c>
    </row>
    <row r="168">
      <c r="A168" t="inlineStr">
        <is>
          <t xml:space="preserve"> </t>
        </is>
      </c>
    </row>
    <row r="169">
      <c r="A169" t="inlineStr">
        <is>
          <t>ADDITIONAL SMALL BODEGAS</t>
        </is>
      </c>
    </row>
    <row r="170">
      <c r="A170" t="inlineStr">
        <is>
          <t>Bodega year 1</t>
        </is>
      </c>
      <c r="B170" t="n">
        <v>2032</v>
      </c>
    </row>
    <row r="171">
      <c r="A171" t="inlineStr">
        <is>
          <t>Bodega year 2</t>
        </is>
      </c>
      <c r="B171" t="n">
        <v>2033</v>
      </c>
    </row>
  </sheetData>
  <mergeCells count="16">
    <mergeCell ref="A42:C42"/>
    <mergeCell ref="A142:C142"/>
    <mergeCell ref="A152:C152"/>
    <mergeCell ref="A85:C85"/>
    <mergeCell ref="A80:C80"/>
    <mergeCell ref="A116:C116"/>
    <mergeCell ref="A131:C131"/>
    <mergeCell ref="A100:C100"/>
    <mergeCell ref="A106:C106"/>
    <mergeCell ref="A30:C30"/>
    <mergeCell ref="A1:B1"/>
    <mergeCell ref="A23:B23"/>
    <mergeCell ref="A148:C148"/>
    <mergeCell ref="A91:C91"/>
    <mergeCell ref="A125:C125"/>
    <mergeCell ref="A72:C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</cols>
  <sheetData>
    <row r="1">
      <c r="A1" s="7" t="inlineStr">
        <is>
          <t>Year</t>
        </is>
      </c>
      <c r="B1" s="7" t="inlineStr">
        <is>
          <t>Base 10Ha</t>
        </is>
      </c>
      <c r="C1" s="7" t="inlineStr">
        <is>
          <t>2026 (0 ha)</t>
        </is>
      </c>
      <c r="D1" s="7" t="inlineStr">
        <is>
          <t>Plant 2027 (15ha)</t>
        </is>
      </c>
      <c r="E1" s="7" t="inlineStr">
        <is>
          <t>Plant 2028 (15ha)</t>
        </is>
      </c>
      <c r="F1" s="7" t="inlineStr">
        <is>
          <t>Plant 2029 (10ha)</t>
        </is>
      </c>
      <c r="G1" s="7" t="inlineStr">
        <is>
          <t>Plant 2030 (30ha L)</t>
        </is>
      </c>
      <c r="H1" s="7" t="inlineStr">
        <is>
          <t>Plant 2031 (30ha L)</t>
        </is>
      </c>
      <c r="I1" s="7" t="n"/>
      <c r="J1" s="7" t="inlineStr">
        <is>
          <t>Gross Total</t>
        </is>
      </c>
      <c r="K1" s="7" t="inlineStr">
        <is>
          <t>Waste</t>
        </is>
      </c>
      <c r="L1" s="7" t="inlineStr">
        <is>
          <t>Net Poles</t>
        </is>
      </c>
    </row>
    <row r="2">
      <c r="A2" s="11" t="n">
        <v>2026</v>
      </c>
      <c r="B2" s="12">
        <f>Assumptions!$B$135</f>
        <v/>
      </c>
      <c r="C2" s="13" t="n">
        <v>0</v>
      </c>
      <c r="D2" s="13">
        <f>IF(-1&lt;5,0,IF(-1=5,Assumptions!$B$4,IF(-1=6,Assumptions!$B$5,Assumptions!$B$6)))*Assumptions!$B$34</f>
        <v/>
      </c>
      <c r="E2" s="13">
        <f>IF(-2&lt;5,0,IF(-2=5,Assumptions!$B$4,IF(-2=6,Assumptions!$B$5,Assumptions!$B$6)))*Assumptions!$B$35</f>
        <v/>
      </c>
      <c r="F2" s="13">
        <f>IF(-3&lt;5,0,IF(-3=5,Assumptions!$B$4,IF(-3=6,Assumptions!$B$5,Assumptions!$B$6)))*Assumptions!$B$36</f>
        <v/>
      </c>
      <c r="G2" s="13">
        <f>IF(-4&lt;5,0,IF(-4=5,Assumptions!$B$4,IF(-4=6,Assumptions!$B$5,Assumptions!$B$6)))*Assumptions!$B$37</f>
        <v/>
      </c>
      <c r="H2" s="13">
        <f>IF(-5&lt;5,0,IF(-5=5,Assumptions!$B$4,IF(-5=6,Assumptions!$B$5,Assumptions!$B$6)))*Assumptions!$B$38</f>
        <v/>
      </c>
      <c r="I2" s="13" t="n"/>
      <c r="J2" s="10">
        <f>B2+SUM(C2:H2)</f>
        <v/>
      </c>
      <c r="K2" s="9">
        <f>J2*Assumptions!$B$3</f>
        <v/>
      </c>
      <c r="L2" s="10">
        <f>J2-K2</f>
        <v/>
      </c>
    </row>
    <row r="3">
      <c r="A3" s="11" t="n">
        <v>2027</v>
      </c>
      <c r="B3" s="12">
        <f>Assumptions!$B$136</f>
        <v/>
      </c>
      <c r="C3" s="13" t="n">
        <v>0</v>
      </c>
      <c r="D3" s="13">
        <f>IF(0&lt;5,0,IF(0=5,Assumptions!$B$4,IF(0=6,Assumptions!$B$5,Assumptions!$B$6)))*Assumptions!$B$34</f>
        <v/>
      </c>
      <c r="E3" s="13">
        <f>IF(-1&lt;5,0,IF(-1=5,Assumptions!$B$4,IF(-1=6,Assumptions!$B$5,Assumptions!$B$6)))*Assumptions!$B$35</f>
        <v/>
      </c>
      <c r="F3" s="13">
        <f>IF(-2&lt;5,0,IF(-2=5,Assumptions!$B$4,IF(-2=6,Assumptions!$B$5,Assumptions!$B$6)))*Assumptions!$B$36</f>
        <v/>
      </c>
      <c r="G3" s="13">
        <f>IF(-3&lt;5,0,IF(-3=5,Assumptions!$B$4,IF(-3=6,Assumptions!$B$5,Assumptions!$B$6)))*Assumptions!$B$37</f>
        <v/>
      </c>
      <c r="H3" s="13">
        <f>IF(-4&lt;5,0,IF(-4=5,Assumptions!$B$4,IF(-4=6,Assumptions!$B$5,Assumptions!$B$6)))*Assumptions!$B$38</f>
        <v/>
      </c>
      <c r="I3" s="13" t="n"/>
      <c r="J3" s="10">
        <f>B3+SUM(C3:H3)</f>
        <v/>
      </c>
      <c r="K3" s="9">
        <f>J3*Assumptions!$B$3</f>
        <v/>
      </c>
      <c r="L3" s="10">
        <f>J3-K3</f>
        <v/>
      </c>
    </row>
    <row r="4">
      <c r="A4" s="11" t="n">
        <v>2028</v>
      </c>
      <c r="B4" s="12">
        <f>Assumptions!$B$137</f>
        <v/>
      </c>
      <c r="C4" s="13" t="n">
        <v>0</v>
      </c>
      <c r="D4" s="13">
        <f>IF(1&lt;5,0,IF(1=5,Assumptions!$B$4,IF(1=6,Assumptions!$B$5,Assumptions!$B$6)))*Assumptions!$B$34</f>
        <v/>
      </c>
      <c r="E4" s="13">
        <f>IF(0&lt;5,0,IF(0=5,Assumptions!$B$4,IF(0=6,Assumptions!$B$5,Assumptions!$B$6)))*Assumptions!$B$35</f>
        <v/>
      </c>
      <c r="F4" s="13">
        <f>IF(-1&lt;5,0,IF(-1=5,Assumptions!$B$4,IF(-1=6,Assumptions!$B$5,Assumptions!$B$6)))*Assumptions!$B$36</f>
        <v/>
      </c>
      <c r="G4" s="13">
        <f>IF(-2&lt;5,0,IF(-2=5,Assumptions!$B$4,IF(-2=6,Assumptions!$B$5,Assumptions!$B$6)))*Assumptions!$B$37</f>
        <v/>
      </c>
      <c r="H4" s="13">
        <f>IF(-3&lt;5,0,IF(-3=5,Assumptions!$B$4,IF(-3=6,Assumptions!$B$5,Assumptions!$B$6)))*Assumptions!$B$38</f>
        <v/>
      </c>
      <c r="I4" s="13" t="n"/>
      <c r="J4" s="10">
        <f>B4+SUM(C4:H4)</f>
        <v/>
      </c>
      <c r="K4" s="9">
        <f>J4*Assumptions!$B$3</f>
        <v/>
      </c>
      <c r="L4" s="10">
        <f>J4-K4</f>
        <v/>
      </c>
    </row>
    <row r="5">
      <c r="A5" s="11" t="n">
        <v>2029</v>
      </c>
      <c r="B5" s="12">
        <f>Assumptions!$B$138</f>
        <v/>
      </c>
      <c r="C5" s="13" t="n">
        <v>0</v>
      </c>
      <c r="D5" s="13">
        <f>IF(2&lt;5,0,IF(2=5,Assumptions!$B$4,IF(2=6,Assumptions!$B$5,Assumptions!$B$6)))*Assumptions!$B$34</f>
        <v/>
      </c>
      <c r="E5" s="13">
        <f>IF(1&lt;5,0,IF(1=5,Assumptions!$B$4,IF(1=6,Assumptions!$B$5,Assumptions!$B$6)))*Assumptions!$B$35</f>
        <v/>
      </c>
      <c r="F5" s="13">
        <f>IF(0&lt;5,0,IF(0=5,Assumptions!$B$4,IF(0=6,Assumptions!$B$5,Assumptions!$B$6)))*Assumptions!$B$36</f>
        <v/>
      </c>
      <c r="G5" s="13">
        <f>IF(-1&lt;5,0,IF(-1=5,Assumptions!$B$4,IF(-1=6,Assumptions!$B$5,Assumptions!$B$6)))*Assumptions!$B$37</f>
        <v/>
      </c>
      <c r="H5" s="13">
        <f>IF(-2&lt;5,0,IF(-2=5,Assumptions!$B$4,IF(-2=6,Assumptions!$B$5,Assumptions!$B$6)))*Assumptions!$B$38</f>
        <v/>
      </c>
      <c r="I5" s="13" t="n"/>
      <c r="J5" s="10">
        <f>B5+SUM(C5:H5)</f>
        <v/>
      </c>
      <c r="K5" s="9">
        <f>J5*Assumptions!$B$3</f>
        <v/>
      </c>
      <c r="L5" s="10">
        <f>J5-K5</f>
        <v/>
      </c>
    </row>
    <row r="6">
      <c r="A6" s="11" t="n">
        <v>2030</v>
      </c>
      <c r="B6" s="12">
        <f>Assumptions!$B$139</f>
        <v/>
      </c>
      <c r="C6" s="13" t="n">
        <v>0</v>
      </c>
      <c r="D6" s="13">
        <f>IF(3&lt;5,0,IF(3=5,Assumptions!$B$4,IF(3=6,Assumptions!$B$5,Assumptions!$B$6)))*Assumptions!$B$34</f>
        <v/>
      </c>
      <c r="E6" s="13">
        <f>IF(2&lt;5,0,IF(2=5,Assumptions!$B$4,IF(2=6,Assumptions!$B$5,Assumptions!$B$6)))*Assumptions!$B$35</f>
        <v/>
      </c>
      <c r="F6" s="13">
        <f>IF(1&lt;5,0,IF(1=5,Assumptions!$B$4,IF(1=6,Assumptions!$B$5,Assumptions!$B$6)))*Assumptions!$B$36</f>
        <v/>
      </c>
      <c r="G6" s="13">
        <f>IF(0&lt;5,0,IF(0=5,Assumptions!$B$4,IF(0=6,Assumptions!$B$5,Assumptions!$B$6)))*Assumptions!$B$37</f>
        <v/>
      </c>
      <c r="H6" s="13">
        <f>IF(-1&lt;5,0,IF(-1=5,Assumptions!$B$4,IF(-1=6,Assumptions!$B$5,Assumptions!$B$6)))*Assumptions!$B$38</f>
        <v/>
      </c>
      <c r="I6" s="13" t="n"/>
      <c r="J6" s="10">
        <f>B6+SUM(C6:H6)</f>
        <v/>
      </c>
      <c r="K6" s="9">
        <f>J6*Assumptions!$B$3</f>
        <v/>
      </c>
      <c r="L6" s="10">
        <f>J6-K6</f>
        <v/>
      </c>
    </row>
    <row r="7">
      <c r="A7" s="11" t="n">
        <v>2031</v>
      </c>
      <c r="B7" s="12" t="n">
        <v>3500</v>
      </c>
      <c r="C7" s="13" t="n">
        <v>0</v>
      </c>
      <c r="D7" s="13">
        <f>IF(4&lt;5,0,IF(4=5,Assumptions!$B$4,IF(4=6,Assumptions!$B$5,Assumptions!$B$6)))*Assumptions!$B$34</f>
        <v/>
      </c>
      <c r="E7" s="13">
        <f>IF(3&lt;5,0,IF(3=5,Assumptions!$B$4,IF(3=6,Assumptions!$B$5,Assumptions!$B$6)))*Assumptions!$B$35</f>
        <v/>
      </c>
      <c r="F7" s="13">
        <f>IF(2&lt;5,0,IF(2=5,Assumptions!$B$4,IF(2=6,Assumptions!$B$5,Assumptions!$B$6)))*Assumptions!$B$36</f>
        <v/>
      </c>
      <c r="G7" s="13">
        <f>IF(1&lt;5,0,IF(1=5,Assumptions!$B$4,IF(1=6,Assumptions!$B$5,Assumptions!$B$6)))*Assumptions!$B$37</f>
        <v/>
      </c>
      <c r="H7" s="13">
        <f>IF(0&lt;5,0,IF(0=5,Assumptions!$B$4,IF(0=6,Assumptions!$B$5,Assumptions!$B$6)))*Assumptions!$B$38</f>
        <v/>
      </c>
      <c r="I7" s="13" t="n"/>
      <c r="J7" s="10">
        <f>B7+SUM(C7:H7)</f>
        <v/>
      </c>
      <c r="K7" s="9">
        <f>J7*Assumptions!$B$3</f>
        <v/>
      </c>
      <c r="L7" s="10">
        <f>J7-K7</f>
        <v/>
      </c>
    </row>
    <row r="8">
      <c r="A8" s="11" t="n">
        <v>2032</v>
      </c>
      <c r="B8" s="12" t="n">
        <v>10500</v>
      </c>
      <c r="C8" s="13" t="n">
        <v>0</v>
      </c>
      <c r="D8" s="13">
        <f>IF(5&lt;5,0,IF(5=5,Assumptions!$B$4,IF(5=6,Assumptions!$B$5,Assumptions!$B$6)))*Assumptions!$B$34</f>
        <v/>
      </c>
      <c r="E8" s="13">
        <f>IF(4&lt;5,0,IF(4=5,Assumptions!$B$4,IF(4=6,Assumptions!$B$5,Assumptions!$B$6)))*Assumptions!$B$35</f>
        <v/>
      </c>
      <c r="F8" s="13">
        <f>IF(3&lt;5,0,IF(3=5,Assumptions!$B$4,IF(3=6,Assumptions!$B$5,Assumptions!$B$6)))*Assumptions!$B$36</f>
        <v/>
      </c>
      <c r="G8" s="13">
        <f>IF(2&lt;5,0,IF(2=5,Assumptions!$B$4,IF(2=6,Assumptions!$B$5,Assumptions!$B$6)))*Assumptions!$B$37</f>
        <v/>
      </c>
      <c r="H8" s="13">
        <f>IF(1&lt;5,0,IF(1=5,Assumptions!$B$4,IF(1=6,Assumptions!$B$5,Assumptions!$B$6)))*Assumptions!$B$38</f>
        <v/>
      </c>
      <c r="I8" s="13" t="n"/>
      <c r="J8" s="10">
        <f>B8+SUM(C8:H8)</f>
        <v/>
      </c>
      <c r="K8" s="9">
        <f>J8*Assumptions!$B$3</f>
        <v/>
      </c>
      <c r="L8" s="10">
        <f>J8-K8</f>
        <v/>
      </c>
    </row>
    <row r="9">
      <c r="A9" s="11" t="n">
        <v>2033</v>
      </c>
      <c r="B9" s="12">
        <f>Assumptions!$B$140</f>
        <v/>
      </c>
      <c r="C9" s="13" t="n">
        <v>0</v>
      </c>
      <c r="D9" s="13">
        <f>IF(6&lt;5,0,IF(6=5,Assumptions!$B$4,IF(6=6,Assumptions!$B$5,Assumptions!$B$6)))*Assumptions!$B$34</f>
        <v/>
      </c>
      <c r="E9" s="13">
        <f>IF(5&lt;5,0,IF(5=5,Assumptions!$B$4,IF(5=6,Assumptions!$B$5,Assumptions!$B$6)))*Assumptions!$B$35</f>
        <v/>
      </c>
      <c r="F9" s="13">
        <f>IF(4&lt;5,0,IF(4=5,Assumptions!$B$4,IF(4=6,Assumptions!$B$5,Assumptions!$B$6)))*Assumptions!$B$36</f>
        <v/>
      </c>
      <c r="G9" s="13">
        <f>IF(3&lt;5,0,IF(3=5,Assumptions!$B$4,IF(3=6,Assumptions!$B$5,Assumptions!$B$6)))*Assumptions!$B$37</f>
        <v/>
      </c>
      <c r="H9" s="13">
        <f>IF(2&lt;5,0,IF(2=5,Assumptions!$B$4,IF(2=6,Assumptions!$B$5,Assumptions!$B$6)))*Assumptions!$B$38</f>
        <v/>
      </c>
      <c r="I9" s="13" t="n"/>
      <c r="J9" s="10">
        <f>B9+SUM(C9:H9)</f>
        <v/>
      </c>
      <c r="K9" s="9">
        <f>J9*Assumptions!$B$3</f>
        <v/>
      </c>
      <c r="L9" s="10">
        <f>J9-K9</f>
        <v/>
      </c>
    </row>
    <row r="10">
      <c r="A10" s="11" t="n">
        <v>2034</v>
      </c>
      <c r="B10" s="12">
        <f>Assumptions!$B$140</f>
        <v/>
      </c>
      <c r="C10" s="13" t="n">
        <v>0</v>
      </c>
      <c r="D10" s="13">
        <f>IF(7&lt;5,0,IF(7=5,Assumptions!$B$4,IF(7=6,Assumptions!$B$5,Assumptions!$B$6)))*Assumptions!$B$34</f>
        <v/>
      </c>
      <c r="E10" s="13">
        <f>IF(6&lt;5,0,IF(6=5,Assumptions!$B$4,IF(6=6,Assumptions!$B$5,Assumptions!$B$6)))*Assumptions!$B$35</f>
        <v/>
      </c>
      <c r="F10" s="13">
        <f>IF(5&lt;5,0,IF(5=5,Assumptions!$B$4,IF(5=6,Assumptions!$B$5,Assumptions!$B$6)))*Assumptions!$B$36</f>
        <v/>
      </c>
      <c r="G10" s="13">
        <f>IF(4&lt;5,0,IF(4=5,Assumptions!$B$4,IF(4=6,Assumptions!$B$5,Assumptions!$B$6)))*Assumptions!$B$37</f>
        <v/>
      </c>
      <c r="H10" s="13">
        <f>IF(3&lt;5,0,IF(3=5,Assumptions!$B$4,IF(3=6,Assumptions!$B$5,Assumptions!$B$6)))*Assumptions!$B$38</f>
        <v/>
      </c>
      <c r="I10" s="13" t="n"/>
      <c r="J10" s="10">
        <f>B10+SUM(C10:H10)</f>
        <v/>
      </c>
      <c r="K10" s="9">
        <f>J10*Assumptions!$B$3</f>
        <v/>
      </c>
      <c r="L10" s="10">
        <f>J10-K10</f>
        <v/>
      </c>
    </row>
    <row r="11">
      <c r="A11" s="11" t="n">
        <v>2035</v>
      </c>
      <c r="B11" s="12">
        <f>Assumptions!$B$140</f>
        <v/>
      </c>
      <c r="C11" s="13" t="n">
        <v>0</v>
      </c>
      <c r="D11" s="13">
        <f>IF(8&lt;5,0,IF(8=5,Assumptions!$B$4,IF(8=6,Assumptions!$B$5,Assumptions!$B$6)))*Assumptions!$B$34</f>
        <v/>
      </c>
      <c r="E11" s="13">
        <f>IF(7&lt;5,0,IF(7=5,Assumptions!$B$4,IF(7=6,Assumptions!$B$5,Assumptions!$B$6)))*Assumptions!$B$35</f>
        <v/>
      </c>
      <c r="F11" s="13">
        <f>IF(6&lt;5,0,IF(6=5,Assumptions!$B$4,IF(6=6,Assumptions!$B$5,Assumptions!$B$6)))*Assumptions!$B$36</f>
        <v/>
      </c>
      <c r="G11" s="13">
        <f>IF(5&lt;5,0,IF(5=5,Assumptions!$B$4,IF(5=6,Assumptions!$B$5,Assumptions!$B$6)))*Assumptions!$B$37</f>
        <v/>
      </c>
      <c r="H11" s="13">
        <f>IF(4&lt;5,0,IF(4=5,Assumptions!$B$4,IF(4=6,Assumptions!$B$5,Assumptions!$B$6)))*Assumptions!$B$38</f>
        <v/>
      </c>
      <c r="I11" s="13" t="n"/>
      <c r="J11" s="10">
        <f>B11+SUM(C11:H11)</f>
        <v/>
      </c>
      <c r="K11" s="9">
        <f>J11*Assumptions!$B$3</f>
        <v/>
      </c>
      <c r="L11" s="10">
        <f>J11-K11</f>
        <v/>
      </c>
    </row>
    <row r="12">
      <c r="A12" s="11" t="n">
        <v>2036</v>
      </c>
      <c r="B12" s="12">
        <f>Assumptions!$B$140</f>
        <v/>
      </c>
      <c r="C12" s="13" t="n">
        <v>0</v>
      </c>
      <c r="D12" s="13">
        <f>IF(9&lt;5,0,IF(9=5,Assumptions!$B$4,IF(9=6,Assumptions!$B$5,Assumptions!$B$6)))*Assumptions!$B$34</f>
        <v/>
      </c>
      <c r="E12" s="13">
        <f>IF(8&lt;5,0,IF(8=5,Assumptions!$B$4,IF(8=6,Assumptions!$B$5,Assumptions!$B$6)))*Assumptions!$B$35</f>
        <v/>
      </c>
      <c r="F12" s="13">
        <f>IF(7&lt;5,0,IF(7=5,Assumptions!$B$4,IF(7=6,Assumptions!$B$5,Assumptions!$B$6)))*Assumptions!$B$36</f>
        <v/>
      </c>
      <c r="G12" s="13">
        <f>IF(6&lt;5,0,IF(6=5,Assumptions!$B$4,IF(6=6,Assumptions!$B$5,Assumptions!$B$6)))*Assumptions!$B$37</f>
        <v/>
      </c>
      <c r="H12" s="13">
        <f>IF(5&lt;5,0,IF(5=5,Assumptions!$B$4,IF(5=6,Assumptions!$B$5,Assumptions!$B$6)))*Assumptions!$B$38</f>
        <v/>
      </c>
      <c r="I12" s="13" t="n"/>
      <c r="J12" s="10">
        <f>B12+SUM(C12:H12)</f>
        <v/>
      </c>
      <c r="K12" s="9">
        <f>J12*Assumptions!$B$3</f>
        <v/>
      </c>
      <c r="L12" s="10">
        <f>J12-K12</f>
        <v/>
      </c>
    </row>
    <row r="13">
      <c r="A13" s="11" t="n">
        <v>2037</v>
      </c>
      <c r="B13" s="12">
        <f>Assumptions!$B$140</f>
        <v/>
      </c>
      <c r="C13" s="13" t="n">
        <v>0</v>
      </c>
      <c r="D13" s="13">
        <f>IF(10&lt;5,0,IF(10=5,Assumptions!$B$4,IF(10=6,Assumptions!$B$5,Assumptions!$B$6)))*Assumptions!$B$34</f>
        <v/>
      </c>
      <c r="E13" s="13">
        <f>IF(9&lt;5,0,IF(9=5,Assumptions!$B$4,IF(9=6,Assumptions!$B$5,Assumptions!$B$6)))*Assumptions!$B$35</f>
        <v/>
      </c>
      <c r="F13" s="13">
        <f>IF(8&lt;5,0,IF(8=5,Assumptions!$B$4,IF(8=6,Assumptions!$B$5,Assumptions!$B$6)))*Assumptions!$B$36</f>
        <v/>
      </c>
      <c r="G13" s="13">
        <f>IF(7&lt;5,0,IF(7=5,Assumptions!$B$4,IF(7=6,Assumptions!$B$5,Assumptions!$B$6)))*Assumptions!$B$37</f>
        <v/>
      </c>
      <c r="H13" s="13">
        <f>IF(6&lt;5,0,IF(6=5,Assumptions!$B$4,IF(6=6,Assumptions!$B$5,Assumptions!$B$6)))*Assumptions!$B$38</f>
        <v/>
      </c>
      <c r="I13" s="13" t="n"/>
      <c r="J13" s="10">
        <f>B13+SUM(C13:H13)</f>
        <v/>
      </c>
      <c r="K13" s="9">
        <f>J13*Assumptions!$B$3</f>
        <v/>
      </c>
      <c r="L13" s="10">
        <f>J13-K13</f>
        <v/>
      </c>
    </row>
    <row r="14">
      <c r="A14" s="11" t="n">
        <v>2038</v>
      </c>
      <c r="B14" s="12">
        <f>Assumptions!$B$140</f>
        <v/>
      </c>
      <c r="C14" s="13" t="n">
        <v>0</v>
      </c>
      <c r="D14" s="13">
        <f>IF(11&lt;5,0,IF(11=5,Assumptions!$B$4,IF(11=6,Assumptions!$B$5,Assumptions!$B$6)))*Assumptions!$B$34</f>
        <v/>
      </c>
      <c r="E14" s="13">
        <f>IF(10&lt;5,0,IF(10=5,Assumptions!$B$4,IF(10=6,Assumptions!$B$5,Assumptions!$B$6)))*Assumptions!$B$35</f>
        <v/>
      </c>
      <c r="F14" s="13">
        <f>IF(9&lt;5,0,IF(9=5,Assumptions!$B$4,IF(9=6,Assumptions!$B$5,Assumptions!$B$6)))*Assumptions!$B$36</f>
        <v/>
      </c>
      <c r="G14" s="13">
        <f>IF(8&lt;5,0,IF(8=5,Assumptions!$B$4,IF(8=6,Assumptions!$B$5,Assumptions!$B$6)))*Assumptions!$B$37</f>
        <v/>
      </c>
      <c r="H14" s="13">
        <f>IF(7&lt;5,0,IF(7=5,Assumptions!$B$4,IF(7=6,Assumptions!$B$5,Assumptions!$B$6)))*Assumptions!$B$38</f>
        <v/>
      </c>
      <c r="I14" s="13" t="n"/>
      <c r="J14" s="10">
        <f>B14+SUM(C14:H14)</f>
        <v/>
      </c>
      <c r="K14" s="9">
        <f>J14*Assumptions!$B$3</f>
        <v/>
      </c>
      <c r="L14" s="10">
        <f>J14-K14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7" t="inlineStr">
        <is>
          <t>Year</t>
        </is>
      </c>
      <c r="B1" s="7" t="inlineStr">
        <is>
          <t>Net Poles</t>
        </is>
      </c>
      <c r="C1" s="7" t="inlineStr">
        <is>
          <t>Pole Revenue (MXN)</t>
        </is>
      </c>
      <c r="D1" s="7" t="inlineStr">
        <is>
          <t>Carbon Credits (0, external)</t>
        </is>
      </c>
      <c r="E1" s="7" t="inlineStr">
        <is>
          <t>Nursery Revenue (MXN)</t>
        </is>
      </c>
      <c r="F1" s="7" t="inlineStr">
        <is>
          <t>Total Revenue (MXN)</t>
        </is>
      </c>
      <c r="G1" s="7" t="inlineStr">
        <is>
          <t>Total Revenue (USD)</t>
        </is>
      </c>
      <c r="H1" t="inlineStr">
        <is>
          <t>Leased Revenue</t>
        </is>
      </c>
      <c r="I1" t="inlineStr">
        <is>
          <t>Own Revenue</t>
        </is>
      </c>
    </row>
    <row r="2">
      <c r="A2" s="11" t="n">
        <v>2026</v>
      </c>
      <c r="B2" s="13">
        <f>Production!L2</f>
        <v/>
      </c>
      <c r="C2" s="9">
        <f>B2*Assumptions!$B$2</f>
        <v/>
      </c>
      <c r="D2" s="9" t="n">
        <v>0</v>
      </c>
      <c r="E2" s="9" t="n">
        <v>0</v>
      </c>
      <c r="F2" s="10">
        <f>SUM(C2:E2)</f>
        <v/>
      </c>
      <c r="G2" s="9">
        <f>F2/Assumptions!$B$8</f>
        <v/>
      </c>
      <c r="H2">
        <f>(Production!G2+Production!H2)*(1-Assumptions!$B$3)*Assumptions!$B$2</f>
        <v/>
      </c>
      <c r="I2">
        <f>F2-H2</f>
        <v/>
      </c>
    </row>
    <row r="3">
      <c r="A3" s="11" t="n">
        <v>2027</v>
      </c>
      <c r="B3" s="13">
        <f>Production!L3</f>
        <v/>
      </c>
      <c r="C3" s="9">
        <f>B3*Assumptions!$B$2</f>
        <v/>
      </c>
      <c r="D3" s="9" t="n">
        <v>0</v>
      </c>
      <c r="E3" s="9" t="n">
        <v>0</v>
      </c>
      <c r="F3" s="10">
        <f>SUM(C3:E3)</f>
        <v/>
      </c>
      <c r="G3" s="9">
        <f>F3/Assumptions!$B$8</f>
        <v/>
      </c>
      <c r="H3">
        <f>(Production!G3+Production!H3)*(1-Assumptions!$B$3)*Assumptions!$B$2</f>
        <v/>
      </c>
      <c r="I3">
        <f>F3-H3</f>
        <v/>
      </c>
    </row>
    <row r="4">
      <c r="A4" s="11" t="n">
        <v>2028</v>
      </c>
      <c r="B4" s="13">
        <f>Production!L4</f>
        <v/>
      </c>
      <c r="C4" s="9">
        <f>B4*Assumptions!$B$2</f>
        <v/>
      </c>
      <c r="D4" s="9" t="n">
        <v>0</v>
      </c>
      <c r="E4" s="9" t="n">
        <v>0</v>
      </c>
      <c r="F4" s="10">
        <f>SUM(C4:E4)</f>
        <v/>
      </c>
      <c r="G4" s="9">
        <f>F4/Assumptions!$B$8</f>
        <v/>
      </c>
      <c r="H4">
        <f>(Production!G4+Production!H4)*(1-Assumptions!$B$3)*Assumptions!$B$2</f>
        <v/>
      </c>
      <c r="I4">
        <f>F4-H4</f>
        <v/>
      </c>
    </row>
    <row r="5">
      <c r="A5" s="11" t="n">
        <v>2029</v>
      </c>
      <c r="B5" s="13">
        <f>Production!L5</f>
        <v/>
      </c>
      <c r="C5" s="9">
        <f>B5*Assumptions!$B$2</f>
        <v/>
      </c>
      <c r="D5" s="9" t="n">
        <v>0</v>
      </c>
      <c r="E5" s="9" t="n">
        <v>0</v>
      </c>
      <c r="F5" s="10">
        <f>SUM(C5:E5)</f>
        <v/>
      </c>
      <c r="G5" s="9">
        <f>F5/Assumptions!$B$8</f>
        <v/>
      </c>
      <c r="H5">
        <f>(Production!G5+Production!H5)*(1-Assumptions!$B$3)*Assumptions!$B$2</f>
        <v/>
      </c>
      <c r="I5">
        <f>F5-H5</f>
        <v/>
      </c>
    </row>
    <row r="6">
      <c r="A6" s="11" t="n">
        <v>2030</v>
      </c>
      <c r="B6" s="13">
        <f>Production!L6</f>
        <v/>
      </c>
      <c r="C6" s="9">
        <f>B6*Assumptions!$B$2</f>
        <v/>
      </c>
      <c r="D6" s="9" t="n">
        <v>0</v>
      </c>
      <c r="E6" s="9">
        <f>(A6-Assumptions!$B$151+1)*Assumptions!$B$150*Assumptions!$B$17</f>
        <v/>
      </c>
      <c r="F6" s="10">
        <f>SUM(C6:E6)</f>
        <v/>
      </c>
      <c r="G6" s="9">
        <f>F6/Assumptions!$B$8</f>
        <v/>
      </c>
      <c r="H6">
        <f>(Production!G6+Production!H6)*(1-Assumptions!$B$3)*Assumptions!$B$2</f>
        <v/>
      </c>
      <c r="I6">
        <f>F6-H6</f>
        <v/>
      </c>
    </row>
    <row r="7">
      <c r="A7" s="11" t="n">
        <v>2031</v>
      </c>
      <c r="B7" s="13">
        <f>Production!L7</f>
        <v/>
      </c>
      <c r="C7" s="9">
        <f>B7*Assumptions!$B$2</f>
        <v/>
      </c>
      <c r="D7" s="9" t="n">
        <v>0</v>
      </c>
      <c r="E7" s="9">
        <f>(A7-Assumptions!$B$151+1)*Assumptions!$B$150*Assumptions!$B$17</f>
        <v/>
      </c>
      <c r="F7" s="10">
        <f>SUM(C7:E7)</f>
        <v/>
      </c>
      <c r="G7" s="9">
        <f>F7/Assumptions!$B$8</f>
        <v/>
      </c>
      <c r="H7">
        <f>(Production!G7+Production!H7)*(1-Assumptions!$B$3)*Assumptions!$B$2</f>
        <v/>
      </c>
      <c r="I7">
        <f>F7-H7</f>
        <v/>
      </c>
    </row>
    <row r="8">
      <c r="A8" s="11" t="n">
        <v>2032</v>
      </c>
      <c r="B8" s="13">
        <f>Production!L8</f>
        <v/>
      </c>
      <c r="C8" s="9">
        <f>B8*Assumptions!$B$2</f>
        <v/>
      </c>
      <c r="D8" s="9" t="n">
        <v>0</v>
      </c>
      <c r="E8" s="9">
        <f>(A8-Assumptions!$B$151+1)*Assumptions!$B$150*Assumptions!$B$17</f>
        <v/>
      </c>
      <c r="F8" s="10">
        <f>SUM(C8:E8)</f>
        <v/>
      </c>
      <c r="G8" s="9">
        <f>F8/Assumptions!$B$8</f>
        <v/>
      </c>
      <c r="H8">
        <f>(Production!G8+Production!H8)*(1-Assumptions!$B$3)*Assumptions!$B$2</f>
        <v/>
      </c>
      <c r="I8">
        <f>F8-H8</f>
        <v/>
      </c>
    </row>
    <row r="9">
      <c r="A9" s="11" t="n">
        <v>2033</v>
      </c>
      <c r="B9" s="13">
        <f>Production!L9</f>
        <v/>
      </c>
      <c r="C9" s="9">
        <f>B9*Assumptions!$B$2</f>
        <v/>
      </c>
      <c r="D9" s="9" t="n">
        <v>0</v>
      </c>
      <c r="E9" s="9">
        <f>(A9-Assumptions!$B$151+1)*Assumptions!$B$150*Assumptions!$B$17</f>
        <v/>
      </c>
      <c r="F9" s="10">
        <f>SUM(C9:E9)</f>
        <v/>
      </c>
      <c r="G9" s="9">
        <f>F9/Assumptions!$B$8</f>
        <v/>
      </c>
      <c r="H9">
        <f>(Production!G9+Production!H9)*(1-Assumptions!$B$3)*Assumptions!$B$2</f>
        <v/>
      </c>
      <c r="I9">
        <f>F9-H9</f>
        <v/>
      </c>
    </row>
    <row r="10">
      <c r="A10" s="11" t="n">
        <v>2034</v>
      </c>
      <c r="B10" s="13">
        <f>Production!L10</f>
        <v/>
      </c>
      <c r="C10" s="9">
        <f>B10*Assumptions!$B$2</f>
        <v/>
      </c>
      <c r="D10" s="9" t="n">
        <v>0</v>
      </c>
      <c r="E10" s="9">
        <f>(A10-Assumptions!$B$151+1)*Assumptions!$B$150*Assumptions!$B$17</f>
        <v/>
      </c>
      <c r="F10" s="10">
        <f>SUM(C10:E10)</f>
        <v/>
      </c>
      <c r="G10" s="9">
        <f>F10/Assumptions!$B$8</f>
        <v/>
      </c>
      <c r="H10">
        <f>(Production!G10+Production!H10)*(1-Assumptions!$B$3)*Assumptions!$B$2</f>
        <v/>
      </c>
      <c r="I10">
        <f>F10-H10</f>
        <v/>
      </c>
    </row>
    <row r="11">
      <c r="A11" s="11" t="n">
        <v>2035</v>
      </c>
      <c r="B11" s="13">
        <f>Production!L11</f>
        <v/>
      </c>
      <c r="C11" s="9">
        <f>B11*Assumptions!$B$2</f>
        <v/>
      </c>
      <c r="D11" s="9" t="n">
        <v>0</v>
      </c>
      <c r="E11" s="9">
        <f>(A11-Assumptions!$B$151+1)*Assumptions!$B$150*Assumptions!$B$17</f>
        <v/>
      </c>
      <c r="F11" s="10">
        <f>SUM(C11:E11)</f>
        <v/>
      </c>
      <c r="G11" s="9">
        <f>F11/Assumptions!$B$8</f>
        <v/>
      </c>
      <c r="H11">
        <f>(Production!G11+Production!H11)*(1-Assumptions!$B$3)*Assumptions!$B$2</f>
        <v/>
      </c>
      <c r="I11">
        <f>F11-H11</f>
        <v/>
      </c>
    </row>
    <row r="12">
      <c r="A12" s="11" t="n">
        <v>2036</v>
      </c>
      <c r="B12" s="13">
        <f>Production!L12</f>
        <v/>
      </c>
      <c r="C12" s="9">
        <f>B12*Assumptions!$B$2</f>
        <v/>
      </c>
      <c r="D12" s="9" t="n">
        <v>0</v>
      </c>
      <c r="E12" s="9">
        <f>(A12-Assumptions!$B$151+1)*Assumptions!$B$150*Assumptions!$B$17</f>
        <v/>
      </c>
      <c r="F12" s="10">
        <f>SUM(C12:E12)</f>
        <v/>
      </c>
      <c r="G12" s="9">
        <f>F12/Assumptions!$B$8</f>
        <v/>
      </c>
      <c r="H12">
        <f>(Production!G12+Production!H12)*(1-Assumptions!$B$3)*Assumptions!$B$2</f>
        <v/>
      </c>
      <c r="I12">
        <f>F12-H12</f>
        <v/>
      </c>
    </row>
    <row r="13">
      <c r="A13" s="11" t="n">
        <v>2037</v>
      </c>
      <c r="B13" s="13">
        <f>Production!L13</f>
        <v/>
      </c>
      <c r="C13" s="9">
        <f>B13*Assumptions!$B$2</f>
        <v/>
      </c>
      <c r="D13" s="9" t="n">
        <v>0</v>
      </c>
      <c r="E13" s="9">
        <f>(A13-Assumptions!$B$151+1)*Assumptions!$B$150*Assumptions!$B$17</f>
        <v/>
      </c>
      <c r="F13" s="10">
        <f>SUM(C13:E13)</f>
        <v/>
      </c>
      <c r="G13" s="9">
        <f>F13/Assumptions!$B$8</f>
        <v/>
      </c>
      <c r="H13">
        <f>(Production!G13+Production!H13)*(1-Assumptions!$B$3)*Assumptions!$B$2</f>
        <v/>
      </c>
      <c r="I13">
        <f>F13-H13</f>
        <v/>
      </c>
    </row>
    <row r="14">
      <c r="A14" s="11" t="n">
        <v>2038</v>
      </c>
      <c r="B14" s="13">
        <f>Production!L14</f>
        <v/>
      </c>
      <c r="C14" s="9">
        <f>B14*Assumptions!$B$2</f>
        <v/>
      </c>
      <c r="D14" s="9" t="n">
        <v>0</v>
      </c>
      <c r="E14" s="9">
        <f>(A14-Assumptions!$B$151+1)*Assumptions!$B$150*Assumptions!$B$17</f>
        <v/>
      </c>
      <c r="F14" s="10">
        <f>SUM(C14:E14)</f>
        <v/>
      </c>
      <c r="G14" s="9">
        <f>F14/Assumptions!$B$8</f>
        <v/>
      </c>
      <c r="H14">
        <f>(Production!G14+Production!H14)*(1-Assumptions!$B$3)*Assumptions!$B$2</f>
        <v/>
      </c>
      <c r="I14">
        <f>F14-H14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7" t="inlineStr">
        <is>
          <t>Year</t>
        </is>
      </c>
      <c r="B1" s="7" t="inlineStr">
        <is>
          <t>Planting Costs</t>
        </is>
      </c>
      <c r="C1" s="7" t="inlineStr">
        <is>
          <t>Fixed Ops (Workers)</t>
        </is>
      </c>
      <c r="D1" s="7" t="inlineStr">
        <is>
          <t>Mgmt Salaries</t>
        </is>
      </c>
      <c r="E1" s="7" t="inlineStr">
        <is>
          <t>Consumables</t>
        </is>
      </c>
      <c r="F1" s="7" t="inlineStr">
        <is>
          <t>SG&amp;A</t>
        </is>
      </c>
      <c r="G1" s="7" t="inlineStr">
        <is>
          <t>Nursery Labor</t>
        </is>
      </c>
      <c r="H1" s="7" t="inlineStr">
        <is>
          <t>Tractor Rental</t>
        </is>
      </c>
      <c r="I1" s="7" t="inlineStr">
        <is>
          <t>Logistics</t>
        </is>
      </c>
      <c r="J1" s="7" t="inlineStr">
        <is>
          <t>Consulting &amp; Tech</t>
        </is>
      </c>
      <c r="K1" s="7" t="inlineStr">
        <is>
          <t>Sub-Total (excl Lease)</t>
        </is>
      </c>
      <c r="L1" t="inlineStr">
        <is>
          <t>Pool Liquids</t>
        </is>
      </c>
      <c r="M1" t="inlineStr">
        <is>
          <t>Lease Payments</t>
        </is>
      </c>
      <c r="N1" t="inlineStr">
        <is>
          <t>Total Expenses</t>
        </is>
      </c>
      <c r="O1" t="inlineStr">
        <is>
          <t>External Clearing</t>
        </is>
      </c>
    </row>
    <row r="2">
      <c r="A2" s="11" t="n">
        <v>2026</v>
      </c>
      <c r="B2" s="9">
        <f>Assumptions!$B$134*Assumptions!$B$18</f>
        <v/>
      </c>
      <c r="C2" s="9">
        <f>CEILING(Assumptions!C33/Assumptions!$B$77,1)*Assumptions!$B$76</f>
        <v/>
      </c>
      <c r="D2" s="9">
        <f>Assumptions!$B$114*VLOOKUP(A2,Assumptions!$A$154:$B$166,2,FALSE)*12</f>
        <v/>
      </c>
      <c r="E2" s="9">
        <f>C2*0.1</f>
        <v/>
      </c>
      <c r="F2" s="3">
        <f>Assumptions!$B$108</f>
        <v/>
      </c>
      <c r="G2" s="9" t="n">
        <v>0</v>
      </c>
      <c r="H2" s="9" t="n">
        <v>0</v>
      </c>
      <c r="I2" s="13">
        <f>Production!L2*Assumptions!$B$129</f>
        <v/>
      </c>
      <c r="J2" s="12" t="n">
        <v>0</v>
      </c>
      <c r="K2" s="10">
        <f>SUM(B2:J2)+L2+O2</f>
        <v/>
      </c>
      <c r="L2" t="n">
        <v>0</v>
      </c>
      <c r="M2" t="n">
        <v>0</v>
      </c>
      <c r="N2">
        <f>K2+M2</f>
        <v/>
      </c>
      <c r="O2">
        <f>20*Assumptions!$B$82</f>
        <v/>
      </c>
    </row>
    <row r="3">
      <c r="A3" s="11" t="n">
        <v>2027</v>
      </c>
      <c r="B3" s="9">
        <f>Assumptions!B34*(Assumptions!$B$89+Assumptions!$B$19*Assumptions!$B$17)</f>
        <v/>
      </c>
      <c r="C3" s="9">
        <f>CEILING(Assumptions!C34/Assumptions!$B$77,1)*Assumptions!$B$76</f>
        <v/>
      </c>
      <c r="D3" s="9">
        <f>Assumptions!$B$114*VLOOKUP(A3,Assumptions!$A$154:$B$166,2,FALSE)*12</f>
        <v/>
      </c>
      <c r="E3" s="9">
        <f>C3*0.1</f>
        <v/>
      </c>
      <c r="F3" s="9">
        <f>Assumptions!$B$109</f>
        <v/>
      </c>
      <c r="G3" s="9" t="n">
        <v>0</v>
      </c>
      <c r="H3" s="9" t="n">
        <v>0</v>
      </c>
      <c r="I3" s="13">
        <f>Production!L3*Assumptions!$B$129</f>
        <v/>
      </c>
      <c r="J3" s="12" t="n">
        <v>0</v>
      </c>
      <c r="K3" s="10">
        <f>SUM(B3:J3)+L3+O3</f>
        <v/>
      </c>
      <c r="L3">
        <f>CEILING(Production!L3/Assumptions!$B$95,1)*Assumptions!$B$97</f>
        <v/>
      </c>
      <c r="M3" t="n">
        <v>0</v>
      </c>
      <c r="N3">
        <f>K3+M3</f>
        <v/>
      </c>
      <c r="O3">
        <f>Assumptions!B34*Assumptions!$B$82</f>
        <v/>
      </c>
    </row>
    <row r="4">
      <c r="A4" s="11" t="n">
        <v>2028</v>
      </c>
      <c r="B4" s="9">
        <f>Assumptions!B35*(Assumptions!$B$89+Assumptions!$B$19*Assumptions!$B$17)</f>
        <v/>
      </c>
      <c r="C4" s="9">
        <f>CEILING(Assumptions!C35/Assumptions!$B$77,1)*Assumptions!$B$76</f>
        <v/>
      </c>
      <c r="D4" s="9">
        <f>Assumptions!$B$114*VLOOKUP(A4,Assumptions!$A$154:$B$166,2,FALSE)*12</f>
        <v/>
      </c>
      <c r="E4" s="9">
        <f>C4*0.1</f>
        <v/>
      </c>
      <c r="F4" s="9">
        <f>Assumptions!$B$110</f>
        <v/>
      </c>
      <c r="G4" s="9" t="n">
        <v>0</v>
      </c>
      <c r="H4" s="9" t="n">
        <v>0</v>
      </c>
      <c r="I4" s="13">
        <f>Production!L4*Assumptions!$B$129</f>
        <v/>
      </c>
      <c r="J4" s="12">
        <f>IF(A4&gt;=Assumptions!$B$121,Assumptions!$B$120,0)</f>
        <v/>
      </c>
      <c r="K4" s="10">
        <f>SUM(B4:J4)+L4+O4</f>
        <v/>
      </c>
      <c r="L4">
        <f>CEILING(Production!L4/Assumptions!$B$95,1)*Assumptions!$B$97</f>
        <v/>
      </c>
      <c r="M4" t="n">
        <v>0</v>
      </c>
      <c r="N4">
        <f>K4+M4</f>
        <v/>
      </c>
      <c r="O4">
        <f>Assumptions!B35*Assumptions!$B$82</f>
        <v/>
      </c>
    </row>
    <row r="5">
      <c r="A5" s="11" t="n">
        <v>2029</v>
      </c>
      <c r="B5" s="9">
        <f>Assumptions!B36*(Assumptions!$B$89+Assumptions!$B$19*Assumptions!$B$18)</f>
        <v/>
      </c>
      <c r="C5" s="9">
        <f>CEILING(Assumptions!C36/Assumptions!$B$77,1)*Assumptions!$B$76</f>
        <v/>
      </c>
      <c r="D5" s="9">
        <f>Assumptions!$B$114*VLOOKUP(A5,Assumptions!$A$154:$B$166,2,FALSE)*12</f>
        <v/>
      </c>
      <c r="E5" s="9">
        <f>C5*0.1</f>
        <v/>
      </c>
      <c r="F5" s="9">
        <f>F4*(1+Assumptions!$B$111)</f>
        <v/>
      </c>
      <c r="G5" s="9">
        <f>IF(A5&gt;=Assumptions!$B$119,Assumptions!$B$118,0)</f>
        <v/>
      </c>
      <c r="H5" s="9" t="n">
        <v>0</v>
      </c>
      <c r="I5" s="13">
        <f>Production!L5*Assumptions!$B$129</f>
        <v/>
      </c>
      <c r="J5" s="12">
        <f>IF(A5&gt;=Assumptions!$B$121,Assumptions!$B$120,0)</f>
        <v/>
      </c>
      <c r="K5" s="10">
        <f>SUM(B5:J5)+L5+O5</f>
        <v/>
      </c>
      <c r="L5">
        <f>CEILING(Production!L5/Assumptions!$B$95,1)*Assumptions!$B$97</f>
        <v/>
      </c>
      <c r="M5" t="n">
        <v>0</v>
      </c>
      <c r="N5">
        <f>K5+M5</f>
        <v/>
      </c>
      <c r="O5">
        <f>Assumptions!B36*Assumptions!$B$82</f>
        <v/>
      </c>
    </row>
    <row r="6">
      <c r="A6" s="11" t="n">
        <v>2030</v>
      </c>
      <c r="B6" s="9">
        <f>Assumptions!B37*(Assumptions!$B$89+Assumptions!$B$19*Assumptions!$B$18)</f>
        <v/>
      </c>
      <c r="C6" s="9">
        <f>CEILING(Assumptions!C37/Assumptions!$B$77,1)*Assumptions!$B$76</f>
        <v/>
      </c>
      <c r="D6" s="9">
        <f>Assumptions!$B$114*VLOOKUP(A6,Assumptions!$A$154:$B$166,2,FALSE)*12</f>
        <v/>
      </c>
      <c r="E6" s="9">
        <f>C6*0.1</f>
        <v/>
      </c>
      <c r="F6" s="9">
        <f>F5*(1+Assumptions!$B$111)</f>
        <v/>
      </c>
      <c r="G6" s="9">
        <f>IF(A6&gt;=Assumptions!$B$119,Assumptions!$B$118,0)</f>
        <v/>
      </c>
      <c r="H6" s="9">
        <f>IF(A6&gt;=Assumptions!$B$128,Assumptions!C37*Assumptions!$B$127,0)</f>
        <v/>
      </c>
      <c r="I6" s="13">
        <f>Production!L6*Assumptions!$B$129</f>
        <v/>
      </c>
      <c r="J6" s="12">
        <f>IF(A6&gt;=Assumptions!$B$121,Assumptions!$B$120,0)+IF(A6&gt;=Assumptions!$B$123,Assumptions!$B$122,0)</f>
        <v/>
      </c>
      <c r="K6" s="10">
        <f>SUM(B6:J6)+L6+O6</f>
        <v/>
      </c>
      <c r="L6">
        <f>CEILING(Production!L6/Assumptions!$B$95,1)*Assumptions!$B$97</f>
        <v/>
      </c>
      <c r="M6" t="n">
        <v>0</v>
      </c>
      <c r="N6">
        <f>K6+M6</f>
        <v/>
      </c>
      <c r="O6">
        <f>Assumptions!B37*Assumptions!$B$82</f>
        <v/>
      </c>
    </row>
    <row r="7">
      <c r="A7" s="11" t="n">
        <v>2031</v>
      </c>
      <c r="B7" s="9">
        <f>Assumptions!B38*(Assumptions!$B$89+Assumptions!$B$19*Assumptions!$B$18)</f>
        <v/>
      </c>
      <c r="C7" s="9">
        <f>CEILING(Assumptions!C38/Assumptions!$B$77,1)*Assumptions!$B$76</f>
        <v/>
      </c>
      <c r="D7" s="9">
        <f>Assumptions!$B$114*VLOOKUP(A7,Assumptions!$A$154:$B$166,2,FALSE)*12</f>
        <v/>
      </c>
      <c r="E7" s="9">
        <f>C7*0.1</f>
        <v/>
      </c>
      <c r="F7" s="9">
        <f>F6*(1+Assumptions!$B$111)</f>
        <v/>
      </c>
      <c r="G7" s="9">
        <f>IF(A7&gt;=Assumptions!$B$119,Assumptions!$B$118,0)</f>
        <v/>
      </c>
      <c r="H7" s="9">
        <f>IF(A7&gt;=Assumptions!$B$128,Assumptions!C38*Assumptions!$B$127,0)</f>
        <v/>
      </c>
      <c r="I7" s="13">
        <f>Production!L7*Assumptions!$B$129</f>
        <v/>
      </c>
      <c r="J7" s="12">
        <f>IF(A7&gt;=Assumptions!$B$121,Assumptions!$B$120,0)+IF(A7&gt;=Assumptions!$B$123,Assumptions!$B$122,0)</f>
        <v/>
      </c>
      <c r="K7" s="10">
        <f>SUM(B7:J7)+L7+O7</f>
        <v/>
      </c>
      <c r="L7">
        <f>CEILING(Production!L7/Assumptions!$B$95,1)*Assumptions!$B$97</f>
        <v/>
      </c>
      <c r="M7" t="n">
        <v>0</v>
      </c>
      <c r="N7">
        <f>K7+M7</f>
        <v/>
      </c>
      <c r="O7">
        <f>Assumptions!B38*Assumptions!$B$82</f>
        <v/>
      </c>
    </row>
    <row r="8">
      <c r="A8" s="11" t="n">
        <v>2032</v>
      </c>
      <c r="B8" s="9" t="n">
        <v>0</v>
      </c>
      <c r="C8" s="9">
        <f>CEILING(Assumptions!C39/Assumptions!$B$77,1)*Assumptions!$B$76</f>
        <v/>
      </c>
      <c r="D8" s="9">
        <f>Assumptions!$B$114*VLOOKUP(A8,Assumptions!$A$154:$B$166,2,FALSE)*12</f>
        <v/>
      </c>
      <c r="E8" s="9">
        <f>C8*0.1</f>
        <v/>
      </c>
      <c r="F8" s="9">
        <f>F7*(1+Assumptions!$B$111)</f>
        <v/>
      </c>
      <c r="G8" s="9">
        <f>IF(A8&gt;=Assumptions!$B$119,Assumptions!$B$118,0)</f>
        <v/>
      </c>
      <c r="H8" s="9">
        <f>IF(A8&gt;=Assumptions!$B$128,Assumptions!C39*Assumptions!$B$127,0)</f>
        <v/>
      </c>
      <c r="I8" s="13">
        <f>Production!L8*Assumptions!$B$129</f>
        <v/>
      </c>
      <c r="J8" s="12">
        <f>IF(A8&gt;=Assumptions!$B$121,Assumptions!$B$120,0)+IF(A8&gt;=Assumptions!$B$123,Assumptions!$B$122,0)</f>
        <v/>
      </c>
      <c r="K8" s="10">
        <f>SUM(B8:J8)+L8+O8</f>
        <v/>
      </c>
      <c r="L8">
        <f>CEILING(Production!L8/Assumptions!$B$95,1)*Assumptions!$B$97</f>
        <v/>
      </c>
      <c r="M8" t="n">
        <v>0</v>
      </c>
      <c r="N8">
        <f>K8+M8</f>
        <v/>
      </c>
      <c r="O8" t="n">
        <v>0</v>
      </c>
    </row>
    <row r="9">
      <c r="A9" s="11" t="n">
        <v>2033</v>
      </c>
      <c r="B9" s="9" t="n">
        <v>0</v>
      </c>
      <c r="C9" s="9">
        <f>CEILING(Assumptions!C40/Assumptions!$B$77,1)*Assumptions!$B$76</f>
        <v/>
      </c>
      <c r="D9" s="9">
        <f>Assumptions!$B$114*VLOOKUP(A9,Assumptions!$A$154:$B$166,2,FALSE)*12</f>
        <v/>
      </c>
      <c r="E9" s="9">
        <f>C9*0.1</f>
        <v/>
      </c>
      <c r="F9" s="9">
        <f>F8*(1+Assumptions!$B$111)</f>
        <v/>
      </c>
      <c r="G9" s="9">
        <f>IF(A9&gt;=Assumptions!$B$119,Assumptions!$B$118,0)</f>
        <v/>
      </c>
      <c r="H9" s="9">
        <f>IF(A9&gt;=Assumptions!$B$128,Assumptions!C40*Assumptions!$B$127,0)</f>
        <v/>
      </c>
      <c r="I9" s="13">
        <f>Production!L9*Assumptions!$B$129</f>
        <v/>
      </c>
      <c r="J9" s="12">
        <f>IF(A9&gt;=Assumptions!$B$121,Assumptions!$B$120,0)+IF(A9&gt;=Assumptions!$B$123,Assumptions!$B$122,0)</f>
        <v/>
      </c>
      <c r="K9" s="10">
        <f>SUM(B9:J9)+L9+O9</f>
        <v/>
      </c>
      <c r="L9">
        <f>CEILING(Production!L9/Assumptions!$B$95,1)*Assumptions!$B$97</f>
        <v/>
      </c>
      <c r="M9" t="n">
        <v>0</v>
      </c>
      <c r="N9">
        <f>K9+M9</f>
        <v/>
      </c>
      <c r="O9" t="n">
        <v>0</v>
      </c>
    </row>
    <row r="10">
      <c r="A10" s="11" t="n">
        <v>2034</v>
      </c>
      <c r="B10" s="9" t="n">
        <v>0</v>
      </c>
      <c r="C10" s="9">
        <f>CEILING(Assumptions!C40/Assumptions!$B$77,1)*Assumptions!$B$76</f>
        <v/>
      </c>
      <c r="D10" s="9">
        <f>Assumptions!$B$114*VLOOKUP(A10,Assumptions!$A$154:$B$166,2,FALSE)*12</f>
        <v/>
      </c>
      <c r="E10" s="9">
        <f>C10*0.1</f>
        <v/>
      </c>
      <c r="F10" s="9">
        <f>F9*(1+Assumptions!$B$111)</f>
        <v/>
      </c>
      <c r="G10" s="9">
        <f>IF(A10&gt;=Assumptions!$B$119,Assumptions!$B$118,0)</f>
        <v/>
      </c>
      <c r="H10" s="9">
        <f>IF(A10&gt;=Assumptions!$B$128,Assumptions!C40*Assumptions!$B$127,0)</f>
        <v/>
      </c>
      <c r="I10" s="13">
        <f>Production!L10*Assumptions!$B$129</f>
        <v/>
      </c>
      <c r="J10" s="12">
        <f>IF(A10&gt;=Assumptions!$B$121,Assumptions!$B$120,0)+IF(A10&gt;=Assumptions!$B$123,Assumptions!$B$122,0)</f>
        <v/>
      </c>
      <c r="K10" s="10">
        <f>SUM(B10:J10)+L10+O10</f>
        <v/>
      </c>
      <c r="L10">
        <f>CEILING(Production!L10/Assumptions!$B$95,1)*Assumptions!$B$97</f>
        <v/>
      </c>
      <c r="M10" t="n">
        <v>0</v>
      </c>
      <c r="N10">
        <f>K10+M10</f>
        <v/>
      </c>
      <c r="O10" t="n">
        <v>0</v>
      </c>
    </row>
    <row r="11">
      <c r="A11" s="11" t="n">
        <v>2035</v>
      </c>
      <c r="B11" s="9" t="n">
        <v>0</v>
      </c>
      <c r="C11" s="9">
        <f>CEILING(Assumptions!C40/Assumptions!$B$77,1)*Assumptions!$B$76</f>
        <v/>
      </c>
      <c r="D11" s="9">
        <f>Assumptions!$B$114*VLOOKUP(A11,Assumptions!$A$154:$B$166,2,FALSE)*12</f>
        <v/>
      </c>
      <c r="E11" s="9">
        <f>C11*0.1</f>
        <v/>
      </c>
      <c r="F11" s="9">
        <f>F10*(1+Assumptions!$B$111)</f>
        <v/>
      </c>
      <c r="G11" s="9">
        <f>IF(A11&gt;=Assumptions!$B$119,Assumptions!$B$118,0)</f>
        <v/>
      </c>
      <c r="H11" s="9">
        <f>IF(A11&gt;=Assumptions!$B$128,Assumptions!C40*Assumptions!$B$127,0)</f>
        <v/>
      </c>
      <c r="I11" s="13">
        <f>Production!L11*Assumptions!$B$129</f>
        <v/>
      </c>
      <c r="J11" s="12">
        <f>IF(A11&gt;=Assumptions!$B$121,Assumptions!$B$120,0)+IF(A11&gt;=Assumptions!$B$123,Assumptions!$B$122,0)</f>
        <v/>
      </c>
      <c r="K11" s="10">
        <f>SUM(B11:J11)+L11+O11</f>
        <v/>
      </c>
      <c r="L11">
        <f>CEILING(Production!L11/Assumptions!$B$95,1)*Assumptions!$B$97</f>
        <v/>
      </c>
      <c r="M11">
        <f>Assumptions!$B$144*MAX(0,((Production!G11+Production!H11)*(1-Assumptions!$B$3)*Assumptions!$B$2-K11*((IF(A11-2030&gt;=5,Assumptions!$B$37,0)+IF(A11-2031&gt;=5,Assumptions!$B$38,0))/Assumptions!C40)))</f>
        <v/>
      </c>
      <c r="N11">
        <f>K11+M11</f>
        <v/>
      </c>
      <c r="O11" t="n">
        <v>0</v>
      </c>
    </row>
    <row r="12">
      <c r="A12" s="11" t="n">
        <v>2036</v>
      </c>
      <c r="B12" s="9" t="n">
        <v>0</v>
      </c>
      <c r="C12" s="9">
        <f>CEILING(Assumptions!C40/Assumptions!$B$77,1)*Assumptions!$B$76</f>
        <v/>
      </c>
      <c r="D12" s="9">
        <f>Assumptions!$B$114*VLOOKUP(A12,Assumptions!$A$154:$B$166,2,FALSE)*12</f>
        <v/>
      </c>
      <c r="E12" s="9">
        <f>C12*0.1</f>
        <v/>
      </c>
      <c r="F12" s="9">
        <f>F11*(1+Assumptions!$B$111)</f>
        <v/>
      </c>
      <c r="G12" s="9">
        <f>IF(A12&gt;=Assumptions!$B$119,Assumptions!$B$118,0)</f>
        <v/>
      </c>
      <c r="H12" s="9">
        <f>IF(A12&gt;=Assumptions!$B$128,Assumptions!C40*Assumptions!$B$127,0)</f>
        <v/>
      </c>
      <c r="I12" s="13">
        <f>Production!L12*Assumptions!$B$129</f>
        <v/>
      </c>
      <c r="J12" s="12">
        <f>IF(A12&gt;=Assumptions!$B$121,Assumptions!$B$120,0)+IF(A12&gt;=Assumptions!$B$123,Assumptions!$B$122,0)</f>
        <v/>
      </c>
      <c r="K12" s="10">
        <f>SUM(B12:J12)+L12+O12</f>
        <v/>
      </c>
      <c r="L12">
        <f>CEILING(Production!L12/Assumptions!$B$95,1)*Assumptions!$B$97</f>
        <v/>
      </c>
      <c r="M12">
        <f>Assumptions!$B$144*MAX(0,((Production!G12+Production!H12)*(1-Assumptions!$B$3)*Assumptions!$B$2-K12*((IF(A12-2030&gt;=5,Assumptions!$B$37,0)+IF(A12-2031&gt;=5,Assumptions!$B$38,0))/Assumptions!C40)))</f>
        <v/>
      </c>
      <c r="N12">
        <f>K12+M12</f>
        <v/>
      </c>
      <c r="O12" t="n">
        <v>0</v>
      </c>
    </row>
    <row r="13">
      <c r="A13" s="11" t="n">
        <v>2037</v>
      </c>
      <c r="B13" s="9" t="n">
        <v>0</v>
      </c>
      <c r="C13" s="9">
        <f>CEILING(Assumptions!C40/Assumptions!$B$77,1)*Assumptions!$B$76</f>
        <v/>
      </c>
      <c r="D13" s="9">
        <f>Assumptions!$B$114*VLOOKUP(A13,Assumptions!$A$154:$B$166,2,FALSE)*12</f>
        <v/>
      </c>
      <c r="E13" s="9">
        <f>C13*0.1</f>
        <v/>
      </c>
      <c r="F13" s="9">
        <f>F12*(1+Assumptions!$B$111)</f>
        <v/>
      </c>
      <c r="G13" s="9">
        <f>IF(A13&gt;=Assumptions!$B$119,Assumptions!$B$118,0)</f>
        <v/>
      </c>
      <c r="H13" s="9">
        <f>IF(A13&gt;=Assumptions!$B$128,Assumptions!C40*Assumptions!$B$127,0)</f>
        <v/>
      </c>
      <c r="I13" s="13">
        <f>Production!L13*Assumptions!$B$129</f>
        <v/>
      </c>
      <c r="J13" s="12">
        <f>IF(A13&gt;=Assumptions!$B$121,Assumptions!$B$120,0)+IF(A13&gt;=Assumptions!$B$123,Assumptions!$B$122,0)</f>
        <v/>
      </c>
      <c r="K13" s="10">
        <f>SUM(B13:J13)+L13+O13</f>
        <v/>
      </c>
      <c r="L13">
        <f>CEILING(Production!L13/Assumptions!$B$95,1)*Assumptions!$B$97</f>
        <v/>
      </c>
      <c r="M13">
        <f>Assumptions!$B$144*MAX(0,((Production!G13+Production!H13)*(1-Assumptions!$B$3)*Assumptions!$B$2-K13*((IF(A13-2030&gt;=5,Assumptions!$B$37,0)+IF(A13-2031&gt;=5,Assumptions!$B$38,0))/Assumptions!C40)))</f>
        <v/>
      </c>
      <c r="N13">
        <f>K13+M13</f>
        <v/>
      </c>
      <c r="O13" t="n">
        <v>0</v>
      </c>
    </row>
    <row r="14">
      <c r="A14" s="11" t="n">
        <v>2038</v>
      </c>
      <c r="B14" s="9" t="n">
        <v>0</v>
      </c>
      <c r="C14" s="9">
        <f>CEILING(Assumptions!C40/Assumptions!$B$77,1)*Assumptions!$B$76</f>
        <v/>
      </c>
      <c r="D14" s="9">
        <f>Assumptions!$B$114*VLOOKUP(A14,Assumptions!$A$154:$B$166,2,FALSE)*12</f>
        <v/>
      </c>
      <c r="E14" s="9">
        <f>C14*0.1</f>
        <v/>
      </c>
      <c r="F14" s="9">
        <f>F13*(1+Assumptions!$B$111)</f>
        <v/>
      </c>
      <c r="G14" s="9">
        <f>IF(A14&gt;=Assumptions!$B$119,Assumptions!$B$118,0)</f>
        <v/>
      </c>
      <c r="H14" s="9">
        <f>IF(A14&gt;=Assumptions!$B$128,Assumptions!C40*Assumptions!$B$127,0)</f>
        <v/>
      </c>
      <c r="I14" s="13">
        <f>Production!L14*Assumptions!$B$129</f>
        <v/>
      </c>
      <c r="J14" s="12">
        <f>IF(A14&gt;=Assumptions!$B$121,Assumptions!$B$120,0)+IF(A14&gt;=Assumptions!$B$123,Assumptions!$B$122,0)</f>
        <v/>
      </c>
      <c r="K14" s="10">
        <f>SUM(B14:J14)+L14+O14</f>
        <v/>
      </c>
      <c r="L14">
        <f>CEILING(Production!L14/Assumptions!$B$95,1)*Assumptions!$B$97</f>
        <v/>
      </c>
      <c r="M14">
        <f>Assumptions!$B$144*MAX(0,((Production!G14+Production!H14)*(1-Assumptions!$B$3)*Assumptions!$B$2-K14*((IF(A14-2030&gt;=5,Assumptions!$B$37,0)+IF(A14-2031&gt;=5,Assumptions!$B$38,0))/Assumptions!C40)))</f>
        <v/>
      </c>
      <c r="N14">
        <f>K14+M14</f>
        <v/>
      </c>
      <c r="O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18" customWidth="1" min="4" max="4"/>
    <col width="18" customWidth="1" min="5" max="5"/>
    <col width="16" customWidth="1" min="6" max="6"/>
    <col width="16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4" t="inlineStr">
        <is>
          <t>Year</t>
        </is>
      </c>
      <c r="B1" s="14" t="inlineStr">
        <is>
          <t>Total Capex (MXN)</t>
        </is>
      </c>
      <c r="C1" s="14" t="inlineStr">
        <is>
          <t>Fixed Items</t>
        </is>
      </c>
      <c r="D1" s="14" t="inlineStr">
        <is>
          <t>New Pools</t>
        </is>
      </c>
      <c r="E1" s="14" t="inlineStr">
        <is>
          <t>Bodegas</t>
        </is>
      </c>
      <c r="F1" s="14" t="inlineStr">
        <is>
          <t>Infra Capex</t>
        </is>
      </c>
      <c r="G1" s="14" t="n"/>
    </row>
    <row r="2">
      <c r="A2" s="11" t="n">
        <v>2026</v>
      </c>
      <c r="B2" s="13">
        <f>C2+F2</f>
        <v/>
      </c>
      <c r="C2">
        <f>SUMIF(Assumptions!C45:C57,A2,Assumptions!B45:B57)</f>
        <v/>
      </c>
      <c r="D2" s="9" t="n">
        <v>0</v>
      </c>
      <c r="E2" s="9">
        <f>IF(Assumptions!C33&gt;=10,1,0)</f>
        <v/>
      </c>
      <c r="F2" s="9">
        <f>E2*Assumptions!$B$102</f>
        <v/>
      </c>
      <c r="G2" s="9" t="n"/>
    </row>
    <row r="3">
      <c r="A3" s="11" t="n">
        <v>2027</v>
      </c>
      <c r="B3" s="13">
        <f>C3+F3</f>
        <v/>
      </c>
      <c r="C3">
        <f>SUMIF(Assumptions!C45:C57,A3,Assumptions!B45:B57)</f>
        <v/>
      </c>
      <c r="D3" s="9">
        <f>MAX(0,CEILING(Production!L3/Assumptions!$B$95,1)-SUM(D2:D2))</f>
        <v/>
      </c>
      <c r="E3" s="9">
        <f>IF(OR(A3=Assumptions!$B$170,A3=Assumptions!$B$171),1,0)</f>
        <v/>
      </c>
      <c r="F3" s="9">
        <f>D3*Assumptions!$B$96+E3*Assumptions!$B$102</f>
        <v/>
      </c>
      <c r="G3" s="9" t="n"/>
    </row>
    <row r="4">
      <c r="A4" s="11" t="n">
        <v>2028</v>
      </c>
      <c r="B4" s="13">
        <f>C4+F4</f>
        <v/>
      </c>
      <c r="C4">
        <f>SUMIF(Assumptions!C45:C57,A4,Assumptions!B45:B57)</f>
        <v/>
      </c>
      <c r="D4" s="9">
        <f>MAX(0,CEILING(Production!L4/Assumptions!$B$95,1)-SUM(D2:D3))</f>
        <v/>
      </c>
      <c r="E4" s="9">
        <f>IF(OR(A4=Assumptions!$B$170,A4=Assumptions!$B$171),1,0)</f>
        <v/>
      </c>
      <c r="F4" s="9">
        <f>D4*Assumptions!$B$96+E4*Assumptions!$B$102</f>
        <v/>
      </c>
      <c r="G4" s="9" t="n"/>
    </row>
    <row r="5">
      <c r="A5" s="11" t="n">
        <v>2029</v>
      </c>
      <c r="B5" s="13">
        <f>C5+F5</f>
        <v/>
      </c>
      <c r="C5">
        <f>SUMIF(Assumptions!C45:C57,A5,Assumptions!B45:B57)</f>
        <v/>
      </c>
      <c r="D5" s="9">
        <f>MAX(0,CEILING(Production!L5/Assumptions!$B$95,1)-SUM(D2:D4))</f>
        <v/>
      </c>
      <c r="E5" s="9">
        <f>IF(OR(A5=Assumptions!$B$170,A5=Assumptions!$B$171),1,0)</f>
        <v/>
      </c>
      <c r="F5" s="9">
        <f>D5*Assumptions!$B$96+E5*Assumptions!$B$102</f>
        <v/>
      </c>
      <c r="G5" s="9" t="n"/>
    </row>
    <row r="6">
      <c r="A6" s="11" t="n">
        <v>2030</v>
      </c>
      <c r="B6" s="13">
        <f>C6+F6</f>
        <v/>
      </c>
      <c r="C6">
        <f>SUMIF(Assumptions!C45:C57,A6,Assumptions!B45:B57)</f>
        <v/>
      </c>
      <c r="D6" s="9">
        <f>MAX(0,CEILING(Production!L6/Assumptions!$B$95,1)-SUM(D2:D5))</f>
        <v/>
      </c>
      <c r="E6" s="9">
        <f>IF(OR(A6=Assumptions!$B$170,A6=Assumptions!$B$171),1,0)</f>
        <v/>
      </c>
      <c r="F6" s="9">
        <f>D6*Assumptions!$B$96+E6*Assumptions!$B$102</f>
        <v/>
      </c>
      <c r="G6" s="9" t="n"/>
    </row>
    <row r="7">
      <c r="A7" s="11" t="n">
        <v>2031</v>
      </c>
      <c r="B7" s="13">
        <f>C7+F7</f>
        <v/>
      </c>
      <c r="C7">
        <f>SUMIF(Assumptions!C45:C57,A7,Assumptions!B45:B57)</f>
        <v/>
      </c>
      <c r="D7" s="9">
        <f>MAX(0,CEILING(Production!L7/Assumptions!$B$95,1)-SUM(D2:D6))</f>
        <v/>
      </c>
      <c r="E7" s="9">
        <f>IF(OR(A7=Assumptions!$B$170,A7=Assumptions!$B$171),1,0)</f>
        <v/>
      </c>
      <c r="F7" s="9">
        <f>D7*Assumptions!$B$96+E7*Assumptions!$B$102</f>
        <v/>
      </c>
      <c r="G7" s="9" t="n"/>
    </row>
    <row r="8">
      <c r="A8" s="11" t="n">
        <v>2032</v>
      </c>
      <c r="B8" s="13">
        <f>C8+F8</f>
        <v/>
      </c>
      <c r="C8">
        <f>SUMIF(Assumptions!C45:C57,A8,Assumptions!B45:B57)</f>
        <v/>
      </c>
      <c r="D8" s="9">
        <f>MAX(0,CEILING(Production!L8/Assumptions!$B$95,1)-SUM(D2:D7))</f>
        <v/>
      </c>
      <c r="E8" s="9">
        <f>IF(OR(A8=Assumptions!$B$170,A8=Assumptions!$B$171),1,0)</f>
        <v/>
      </c>
      <c r="F8" s="9">
        <f>D8*Assumptions!$B$96+E8*Assumptions!$B$102</f>
        <v/>
      </c>
      <c r="G8" s="9" t="n"/>
    </row>
    <row r="9">
      <c r="A9" s="11" t="n">
        <v>2033</v>
      </c>
      <c r="B9" s="13">
        <f>C9+F9</f>
        <v/>
      </c>
      <c r="C9">
        <f>SUMIF(Assumptions!C45:C57,A9,Assumptions!B45:B57)</f>
        <v/>
      </c>
      <c r="D9" s="9">
        <f>MAX(0,CEILING(Production!L9/Assumptions!$B$95,1)-SUM(D2:D8))</f>
        <v/>
      </c>
      <c r="E9" s="9">
        <f>IF(OR(A9=Assumptions!$B$170,A9=Assumptions!$B$171),1,0)</f>
        <v/>
      </c>
      <c r="F9" s="9">
        <f>D9*Assumptions!$B$96+E9*Assumptions!$B$102</f>
        <v/>
      </c>
      <c r="G9" s="9" t="n"/>
    </row>
    <row r="10">
      <c r="A10" s="11" t="n">
        <v>2034</v>
      </c>
      <c r="B10" s="13">
        <f>C10+F10</f>
        <v/>
      </c>
      <c r="C10">
        <f>SUMIF(Assumptions!C45:C57,A10,Assumptions!B45:B57)</f>
        <v/>
      </c>
      <c r="D10" s="9">
        <f>MAX(0,CEILING(Production!L10/Assumptions!$B$95,1)-SUM(D2:D9))</f>
        <v/>
      </c>
      <c r="E10" s="9">
        <f>IF(A10=Assumptions!$B$104,1,0)</f>
        <v/>
      </c>
      <c r="F10" s="9">
        <f>D10*Assumptions!$B$96+E10*Assumptions!$B$103</f>
        <v/>
      </c>
      <c r="G10" s="9" t="n"/>
    </row>
    <row r="11">
      <c r="A11" s="11" t="n">
        <v>2035</v>
      </c>
      <c r="B11" s="13">
        <f>C11+F11</f>
        <v/>
      </c>
      <c r="C11">
        <f>SUMIF(Assumptions!C45:C57,A11,Assumptions!B45:B57)</f>
        <v/>
      </c>
      <c r="D11" s="9">
        <f>MAX(0,CEILING(Production!L11/Assumptions!$B$95,1)-SUM(D2:D10))</f>
        <v/>
      </c>
      <c r="E11" s="9">
        <f>IF(OR(A11=Assumptions!$B$170,A11=Assumptions!$B$171),1,0)</f>
        <v/>
      </c>
      <c r="F11" s="9">
        <f>D11*Assumptions!$B$96+E11*Assumptions!$B$102</f>
        <v/>
      </c>
      <c r="G11" s="9" t="n"/>
    </row>
    <row r="12">
      <c r="A12" s="11" t="n">
        <v>2036</v>
      </c>
      <c r="B12" s="13">
        <f>C12+F12</f>
        <v/>
      </c>
      <c r="C12">
        <f>SUMIF(Assumptions!C45:C57,A12,Assumptions!B45:B57)</f>
        <v/>
      </c>
      <c r="D12" s="9">
        <f>MAX(0,CEILING(Production!L12/Assumptions!$B$95,1)-SUM(D2:D11))</f>
        <v/>
      </c>
      <c r="E12" s="9">
        <f>IF(OR(A12=Assumptions!$B$170,A12=Assumptions!$B$171),1,0)</f>
        <v/>
      </c>
      <c r="F12" s="9">
        <f>D12*Assumptions!$B$96+E12*Assumptions!$B$102</f>
        <v/>
      </c>
      <c r="G12" s="9" t="n"/>
    </row>
    <row r="13">
      <c r="A13" s="11" t="n">
        <v>2037</v>
      </c>
      <c r="B13" s="13">
        <f>C13+F13</f>
        <v/>
      </c>
      <c r="C13">
        <f>SUMIF(Assumptions!C45:C57,A13,Assumptions!B45:B57)</f>
        <v/>
      </c>
      <c r="D13" s="9">
        <f>MAX(0,CEILING(Production!L13/Assumptions!$B$95,1)-SUM(D2:D12))</f>
        <v/>
      </c>
      <c r="E13" s="9">
        <f>IF(OR(A13=Assumptions!$B$170,A13=Assumptions!$B$171),1,0)</f>
        <v/>
      </c>
      <c r="F13" s="9">
        <f>D13*Assumptions!$B$96+E13*Assumptions!$B$102</f>
        <v/>
      </c>
      <c r="G13" s="9" t="n"/>
    </row>
    <row r="14">
      <c r="A14" s="11" t="n">
        <v>2038</v>
      </c>
      <c r="B14" s="13">
        <f>C14+F14</f>
        <v/>
      </c>
      <c r="C14">
        <f>SUMIF(Assumptions!C45:C57,A14,Assumptions!B45:B57)</f>
        <v/>
      </c>
      <c r="D14" s="9">
        <f>MAX(0,CEILING(Production!L14/Assumptions!$B$95,1)-SUM(D2:D13))</f>
        <v/>
      </c>
      <c r="E14" s="9">
        <f>IF(OR(A14=Assumptions!$B$170,A14=Assumptions!$B$171),1,0)</f>
        <v/>
      </c>
      <c r="F14" s="9">
        <f>D14*Assumptions!$B$96+E14*Assumptions!$B$102</f>
        <v/>
      </c>
      <c r="G14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Year</t>
        </is>
      </c>
      <c r="B1" s="7" t="inlineStr">
        <is>
          <t>Revenue</t>
        </is>
      </c>
      <c r="C1" s="7" t="inlineStr">
        <is>
          <t>OpEx</t>
        </is>
      </c>
      <c r="D1" s="7" t="inlineStr">
        <is>
          <t>Capex</t>
        </is>
      </c>
      <c r="E1" s="7" t="inlineStr">
        <is>
          <t>Funding</t>
        </is>
      </c>
      <c r="F1" s="7" t="inlineStr">
        <is>
          <t>Net Cash Flow</t>
        </is>
      </c>
      <c r="G1" s="7" t="inlineStr">
        <is>
          <t>Cumulative Cash</t>
        </is>
      </c>
      <c r="H1" s="7" t="inlineStr">
        <is>
          <t>Status</t>
        </is>
      </c>
    </row>
    <row r="2">
      <c r="A2" s="11" t="n">
        <v>2026</v>
      </c>
      <c r="B2" s="13">
        <f>Revenue!F2</f>
        <v/>
      </c>
      <c r="C2" s="13">
        <f>Expenses!N2</f>
        <v/>
      </c>
      <c r="D2" s="13">
        <f>Capex!B2</f>
        <v/>
      </c>
      <c r="E2" s="13">
        <f>IF(A2=2026,Assumptions!$B$9,0)+IF(A2=Assumptions!$B$11,Assumptions!$B$10,0)</f>
        <v/>
      </c>
      <c r="F2" s="15">
        <f>B2-C2-D2+E2</f>
        <v/>
      </c>
      <c r="G2" s="15">
        <f>F2</f>
        <v/>
      </c>
      <c r="H2" s="16">
        <f>IF(G2&lt;0,"NEGATIVE","OK")</f>
        <v/>
      </c>
    </row>
    <row r="3">
      <c r="A3" s="11" t="n">
        <v>2027</v>
      </c>
      <c r="B3" s="13">
        <f>Revenue!F3</f>
        <v/>
      </c>
      <c r="C3" s="13">
        <f>Expenses!N3</f>
        <v/>
      </c>
      <c r="D3" s="13">
        <f>Capex!B3</f>
        <v/>
      </c>
      <c r="E3" s="13">
        <f>IF(A3=2026,Assumptions!$B$9,0)+IF(A3=Assumptions!$B$11,Assumptions!$B$10,0)</f>
        <v/>
      </c>
      <c r="F3" s="15">
        <f>B3-C3-D3+E3</f>
        <v/>
      </c>
      <c r="G3" s="15">
        <f>G2+F3</f>
        <v/>
      </c>
      <c r="H3" s="16">
        <f>IF(G3&lt;0,"NEGATIVE","OK")</f>
        <v/>
      </c>
    </row>
    <row r="4">
      <c r="A4" s="11" t="n">
        <v>2028</v>
      </c>
      <c r="B4" s="13">
        <f>Revenue!F4</f>
        <v/>
      </c>
      <c r="C4" s="13">
        <f>Expenses!N4</f>
        <v/>
      </c>
      <c r="D4" s="13">
        <f>Capex!B4</f>
        <v/>
      </c>
      <c r="E4" s="13">
        <f>IF(A4=2026,Assumptions!$B$9,0)+IF(A4=Assumptions!$B$11,Assumptions!$B$10,0)</f>
        <v/>
      </c>
      <c r="F4" s="15">
        <f>B4-C4-D4+E4</f>
        <v/>
      </c>
      <c r="G4" s="15">
        <f>G3+F4</f>
        <v/>
      </c>
      <c r="H4" s="16">
        <f>IF(G4&lt;0,"NEGATIVE","OK")</f>
        <v/>
      </c>
    </row>
    <row r="5">
      <c r="A5" s="11" t="n">
        <v>2029</v>
      </c>
      <c r="B5" s="13">
        <f>Revenue!F5</f>
        <v/>
      </c>
      <c r="C5" s="13">
        <f>Expenses!N5</f>
        <v/>
      </c>
      <c r="D5" s="13">
        <f>Capex!B5</f>
        <v/>
      </c>
      <c r="E5" s="13">
        <f>IF(A5=2026,Assumptions!$B$9,0)+IF(A5=Assumptions!$B$11,Assumptions!$B$10,0)</f>
        <v/>
      </c>
      <c r="F5" s="15">
        <f>B5-C5-D5+E5</f>
        <v/>
      </c>
      <c r="G5" s="15">
        <f>G4+F5</f>
        <v/>
      </c>
      <c r="H5" s="16">
        <f>IF(G5&lt;0,"NEGATIVE","OK")</f>
        <v/>
      </c>
    </row>
    <row r="6">
      <c r="A6" s="11" t="n">
        <v>2030</v>
      </c>
      <c r="B6" s="13">
        <f>Revenue!F6</f>
        <v/>
      </c>
      <c r="C6" s="13">
        <f>Expenses!N6</f>
        <v/>
      </c>
      <c r="D6" s="13">
        <f>Capex!B6</f>
        <v/>
      </c>
      <c r="E6" s="13">
        <f>IF(A6=2026,Assumptions!$B$9,0)+IF(A6=Assumptions!$B$11,Assumptions!$B$10,0)</f>
        <v/>
      </c>
      <c r="F6" s="15">
        <f>B6-C6-D6+E6</f>
        <v/>
      </c>
      <c r="G6" s="15">
        <f>G5+F6</f>
        <v/>
      </c>
      <c r="H6" s="16">
        <f>IF(G6&lt;0,"NEGATIVE","OK")</f>
        <v/>
      </c>
    </row>
    <row r="7">
      <c r="A7" s="11" t="n">
        <v>2031</v>
      </c>
      <c r="B7" s="13">
        <f>Revenue!F7</f>
        <v/>
      </c>
      <c r="C7" s="13">
        <f>Expenses!N7</f>
        <v/>
      </c>
      <c r="D7" s="13">
        <f>Capex!B7</f>
        <v/>
      </c>
      <c r="E7" s="13">
        <f>IF(A7=2026,Assumptions!$B$9,0)+IF(A7=Assumptions!$B$11,Assumptions!$B$10,0)</f>
        <v/>
      </c>
      <c r="F7" s="15">
        <f>B7-C7-D7+E7</f>
        <v/>
      </c>
      <c r="G7" s="15">
        <f>G6+F7</f>
        <v/>
      </c>
      <c r="H7" s="16">
        <f>IF(G7&lt;0,"NEGATIVE","OK")</f>
        <v/>
      </c>
    </row>
    <row r="8">
      <c r="A8" s="11" t="n">
        <v>2032</v>
      </c>
      <c r="B8" s="13">
        <f>Revenue!F8</f>
        <v/>
      </c>
      <c r="C8" s="13">
        <f>Expenses!N8</f>
        <v/>
      </c>
      <c r="D8" s="13">
        <f>Capex!B8</f>
        <v/>
      </c>
      <c r="E8" s="13">
        <f>IF(A8=2026,Assumptions!$B$9,0)+IF(A8=Assumptions!$B$11,Assumptions!$B$10,0)</f>
        <v/>
      </c>
      <c r="F8" s="15">
        <f>B8-C8-D8+E8</f>
        <v/>
      </c>
      <c r="G8" s="15">
        <f>G7+F8</f>
        <v/>
      </c>
      <c r="H8" s="16">
        <f>IF(G8&lt;0,"NEGATIVE","OK")</f>
        <v/>
      </c>
    </row>
    <row r="9">
      <c r="A9" s="11" t="n">
        <v>2033</v>
      </c>
      <c r="B9" s="13">
        <f>Revenue!F9</f>
        <v/>
      </c>
      <c r="C9" s="13">
        <f>Expenses!N9</f>
        <v/>
      </c>
      <c r="D9" s="13">
        <f>Capex!B9</f>
        <v/>
      </c>
      <c r="E9" s="13">
        <f>IF(A9=2026,Assumptions!$B$9,0)+IF(A9=Assumptions!$B$11,Assumptions!$B$10,0)</f>
        <v/>
      </c>
      <c r="F9" s="15">
        <f>B9-C9-D9+E9</f>
        <v/>
      </c>
      <c r="G9" s="15">
        <f>G8+F9</f>
        <v/>
      </c>
      <c r="H9" s="16">
        <f>IF(G9&lt;0,"NEGATIVE","OK")</f>
        <v/>
      </c>
    </row>
    <row r="10">
      <c r="A10" s="11" t="n">
        <v>2034</v>
      </c>
      <c r="B10" s="13">
        <f>Revenue!F10</f>
        <v/>
      </c>
      <c r="C10" s="13">
        <f>Expenses!N10</f>
        <v/>
      </c>
      <c r="D10" s="13">
        <f>Capex!B10</f>
        <v/>
      </c>
      <c r="E10" s="13">
        <f>IF(A10=2026,Assumptions!$B$9,0)+IF(A10=Assumptions!$B$11,Assumptions!$B$10,0)</f>
        <v/>
      </c>
      <c r="F10" s="15">
        <f>B10-C10-D10+E10</f>
        <v/>
      </c>
      <c r="G10" s="15">
        <f>G9+F10</f>
        <v/>
      </c>
      <c r="H10" s="16">
        <f>IF(G10&lt;0,"NEGATIVE","OK")</f>
        <v/>
      </c>
    </row>
    <row r="11">
      <c r="A11" s="11" t="n">
        <v>2035</v>
      </c>
      <c r="B11" s="13">
        <f>Revenue!F11</f>
        <v/>
      </c>
      <c r="C11" s="13">
        <f>Expenses!N11</f>
        <v/>
      </c>
      <c r="D11" s="13">
        <f>Capex!B11</f>
        <v/>
      </c>
      <c r="E11" s="13">
        <f>IF(A11=2026,Assumptions!$B$9,0)+IF(A11=Assumptions!$B$11,Assumptions!$B$10,0)</f>
        <v/>
      </c>
      <c r="F11" s="15">
        <f>B11-C11-D11+E11</f>
        <v/>
      </c>
      <c r="G11" s="15">
        <f>G10+F11</f>
        <v/>
      </c>
      <c r="H11" s="16">
        <f>IF(G11&lt;0,"NEGATIVE","OK")</f>
        <v/>
      </c>
    </row>
    <row r="12">
      <c r="A12" s="11" t="n">
        <v>2036</v>
      </c>
      <c r="B12" s="13">
        <f>Revenue!F12</f>
        <v/>
      </c>
      <c r="C12" s="13">
        <f>Expenses!N12</f>
        <v/>
      </c>
      <c r="D12" s="13">
        <f>Capex!B12</f>
        <v/>
      </c>
      <c r="E12" s="13">
        <f>IF(A12=2026,Assumptions!$B$9,0)+IF(A12=Assumptions!$B$11,Assumptions!$B$10,0)</f>
        <v/>
      </c>
      <c r="F12" s="15">
        <f>B12-C12-D12+E12</f>
        <v/>
      </c>
      <c r="G12" s="15">
        <f>G11+F12</f>
        <v/>
      </c>
      <c r="H12" s="16">
        <f>IF(G12&lt;0,"NEGATIVE","OK")</f>
        <v/>
      </c>
    </row>
    <row r="13">
      <c r="A13" s="11" t="n">
        <v>2037</v>
      </c>
      <c r="B13" s="13">
        <f>Revenue!F13</f>
        <v/>
      </c>
      <c r="C13" s="13">
        <f>Expenses!N13</f>
        <v/>
      </c>
      <c r="D13" s="13">
        <f>Capex!B13</f>
        <v/>
      </c>
      <c r="E13" s="13">
        <f>IF(A13=2026,Assumptions!$B$9,0)+IF(A13=Assumptions!$B$11,Assumptions!$B$10,0)</f>
        <v/>
      </c>
      <c r="F13" s="15">
        <f>B13-C13-D13+E13</f>
        <v/>
      </c>
      <c r="G13" s="15">
        <f>G12+F13</f>
        <v/>
      </c>
      <c r="H13" s="16">
        <f>IF(G13&lt;0,"NEGATIVE","OK")</f>
        <v/>
      </c>
    </row>
    <row r="14">
      <c r="A14" s="11" t="n">
        <v>2038</v>
      </c>
      <c r="B14" s="13">
        <f>Revenue!F14</f>
        <v/>
      </c>
      <c r="C14" s="13">
        <f>Expenses!N14</f>
        <v/>
      </c>
      <c r="D14" s="13">
        <f>Capex!B14</f>
        <v/>
      </c>
      <c r="E14" s="13">
        <f>IF(A14=2026,Assumptions!$B$9,0)+IF(A14=Assumptions!$B$11,Assumptions!$B$10,0)</f>
        <v/>
      </c>
      <c r="F14" s="15">
        <f>B14-C14-D14+E14</f>
        <v/>
      </c>
      <c r="G14" s="15">
        <f>G13+F14</f>
        <v/>
      </c>
      <c r="H14" s="16">
        <f>IF(G14&lt;0,"NEGATIVE","OK")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7" t="inlineStr">
        <is>
          <t>Year</t>
        </is>
      </c>
      <c r="B1" s="7" t="inlineStr">
        <is>
          <t>Revenue</t>
        </is>
      </c>
      <c r="C1" s="7" t="inlineStr">
        <is>
          <t>Expenses</t>
        </is>
      </c>
      <c r="D1" s="7" t="inlineStr">
        <is>
          <t>Capex</t>
        </is>
      </c>
      <c r="E1" s="7" t="inlineStr">
        <is>
          <t>Net Income</t>
        </is>
      </c>
      <c r="F1" s="7" t="n"/>
      <c r="G1" s="7" t="n"/>
      <c r="H1" s="7" t="n"/>
      <c r="I1" s="7" t="n"/>
      <c r="J1" s="7" t="n"/>
      <c r="K1" s="7" t="n"/>
    </row>
    <row r="2">
      <c r="A2" s="11" t="n">
        <v>2026</v>
      </c>
      <c r="B2" s="13">
        <f>Revenue!F2</f>
        <v/>
      </c>
      <c r="C2" s="13">
        <f>Expenses!N2</f>
        <v/>
      </c>
      <c r="D2" s="13">
        <f>Capex!B2</f>
        <v/>
      </c>
      <c r="E2" s="15">
        <f>B2-C2-D2</f>
        <v/>
      </c>
      <c r="F2" s="17" t="n"/>
      <c r="G2" s="17" t="n"/>
      <c r="H2" s="17" t="n"/>
      <c r="I2" s="17" t="n"/>
      <c r="J2" s="17" t="n"/>
      <c r="K2" s="10" t="n"/>
    </row>
    <row r="3">
      <c r="A3" s="11" t="n">
        <v>2027</v>
      </c>
      <c r="B3" s="13">
        <f>Revenue!F3</f>
        <v/>
      </c>
      <c r="C3" s="13">
        <f>Expenses!N3</f>
        <v/>
      </c>
      <c r="D3" s="13">
        <f>Capex!B3</f>
        <v/>
      </c>
      <c r="E3" s="15">
        <f>B3-C3-D3</f>
        <v/>
      </c>
      <c r="F3" s="17" t="n"/>
      <c r="G3" s="17" t="n"/>
      <c r="H3" s="17" t="n"/>
      <c r="I3" s="17" t="n"/>
      <c r="J3" s="17" t="n"/>
      <c r="K3" s="10" t="n"/>
    </row>
    <row r="4">
      <c r="A4" s="11" t="n">
        <v>2028</v>
      </c>
      <c r="B4" s="13">
        <f>Revenue!F4</f>
        <v/>
      </c>
      <c r="C4" s="13">
        <f>Expenses!N4</f>
        <v/>
      </c>
      <c r="D4" s="13">
        <f>Capex!B4</f>
        <v/>
      </c>
      <c r="E4" s="15">
        <f>B4-C4-D4</f>
        <v/>
      </c>
      <c r="F4" s="17" t="n"/>
      <c r="G4" s="17" t="n"/>
      <c r="H4" s="17" t="n"/>
      <c r="I4" s="17" t="n"/>
      <c r="J4" s="17" t="n"/>
      <c r="K4" s="10" t="n"/>
    </row>
    <row r="5">
      <c r="A5" s="11" t="n">
        <v>2029</v>
      </c>
      <c r="B5" s="13">
        <f>Revenue!F5</f>
        <v/>
      </c>
      <c r="C5" s="13">
        <f>Expenses!N5</f>
        <v/>
      </c>
      <c r="D5" s="13">
        <f>Capex!B5</f>
        <v/>
      </c>
      <c r="E5" s="15">
        <f>B5-C5-D5</f>
        <v/>
      </c>
      <c r="F5" s="17" t="n"/>
      <c r="G5" s="17" t="n"/>
      <c r="H5" s="17" t="n"/>
      <c r="I5" s="17" t="n"/>
      <c r="J5" s="17" t="n"/>
      <c r="K5" s="10" t="n"/>
    </row>
    <row r="6">
      <c r="A6" s="11" t="n">
        <v>2030</v>
      </c>
      <c r="B6" s="13">
        <f>Revenue!F6</f>
        <v/>
      </c>
      <c r="C6" s="13">
        <f>Expenses!N6</f>
        <v/>
      </c>
      <c r="D6" s="13">
        <f>Capex!B6</f>
        <v/>
      </c>
      <c r="E6" s="15">
        <f>B6-C6-D6</f>
        <v/>
      </c>
      <c r="F6" s="17" t="n"/>
      <c r="G6" s="17" t="n"/>
      <c r="H6" s="17" t="n"/>
      <c r="I6" s="17" t="n"/>
      <c r="J6" s="17" t="n"/>
      <c r="K6" s="10" t="n"/>
    </row>
    <row r="7">
      <c r="A7" s="11" t="n">
        <v>2031</v>
      </c>
      <c r="B7" s="13">
        <f>Revenue!F7</f>
        <v/>
      </c>
      <c r="C7" s="13">
        <f>Expenses!N7</f>
        <v/>
      </c>
      <c r="D7" s="13">
        <f>Capex!B7</f>
        <v/>
      </c>
      <c r="E7" s="15">
        <f>B7-C7-D7</f>
        <v/>
      </c>
      <c r="F7" s="17" t="n"/>
      <c r="G7" s="17" t="n"/>
      <c r="H7" s="17" t="n"/>
      <c r="I7" s="17" t="n"/>
      <c r="J7" s="17" t="n"/>
      <c r="K7" s="10" t="n"/>
    </row>
    <row r="8">
      <c r="A8" s="11" t="n">
        <v>2032</v>
      </c>
      <c r="B8" s="13">
        <f>Revenue!F8</f>
        <v/>
      </c>
      <c r="C8" s="13">
        <f>Expenses!N8</f>
        <v/>
      </c>
      <c r="D8" s="13">
        <f>Capex!B8</f>
        <v/>
      </c>
      <c r="E8" s="15">
        <f>B8-C8-D8</f>
        <v/>
      </c>
      <c r="F8" s="17" t="n"/>
      <c r="G8" s="17" t="n"/>
      <c r="H8" s="17" t="n"/>
      <c r="I8" s="17" t="n"/>
      <c r="J8" s="17" t="n"/>
      <c r="K8" s="10" t="n"/>
    </row>
    <row r="9">
      <c r="A9" s="11" t="n">
        <v>2033</v>
      </c>
      <c r="B9" s="13">
        <f>Revenue!F9</f>
        <v/>
      </c>
      <c r="C9" s="13">
        <f>Expenses!N9</f>
        <v/>
      </c>
      <c r="D9" s="13">
        <f>Capex!B9</f>
        <v/>
      </c>
      <c r="E9" s="15">
        <f>B9-C9-D9</f>
        <v/>
      </c>
      <c r="F9" s="17" t="n"/>
      <c r="G9" s="17" t="n"/>
      <c r="H9" s="17" t="n"/>
      <c r="I9" s="17" t="n"/>
      <c r="J9" s="17" t="n"/>
      <c r="K9" s="10" t="n"/>
    </row>
    <row r="10">
      <c r="A10" s="11" t="n">
        <v>2034</v>
      </c>
      <c r="B10" s="13">
        <f>Revenue!F10</f>
        <v/>
      </c>
      <c r="C10" s="13">
        <f>Expenses!N10</f>
        <v/>
      </c>
      <c r="D10" s="13">
        <f>Capex!B10</f>
        <v/>
      </c>
      <c r="E10" s="15">
        <f>B10-C10-D10</f>
        <v/>
      </c>
      <c r="F10" s="17" t="n"/>
      <c r="G10" s="17" t="n"/>
      <c r="H10" s="17" t="n"/>
      <c r="I10" s="17" t="n"/>
      <c r="J10" s="17" t="n"/>
      <c r="K10" s="10" t="n"/>
    </row>
    <row r="11">
      <c r="A11" s="11" t="n">
        <v>2035</v>
      </c>
      <c r="B11" s="13">
        <f>Revenue!F11</f>
        <v/>
      </c>
      <c r="C11" s="13">
        <f>Expenses!N11</f>
        <v/>
      </c>
      <c r="D11" s="13">
        <f>Capex!B11</f>
        <v/>
      </c>
      <c r="E11" s="15">
        <f>B11-C11-D11</f>
        <v/>
      </c>
      <c r="F11" s="17" t="n"/>
      <c r="G11" s="17" t="n"/>
      <c r="H11" s="17" t="n"/>
      <c r="I11" s="17" t="n"/>
      <c r="J11" s="17" t="n"/>
      <c r="K11" s="10" t="n"/>
    </row>
    <row r="12">
      <c r="A12" s="11" t="n">
        <v>2036</v>
      </c>
      <c r="B12" s="13">
        <f>Revenue!F12</f>
        <v/>
      </c>
      <c r="C12" s="13">
        <f>Expenses!N12</f>
        <v/>
      </c>
      <c r="D12" s="13">
        <f>Capex!B12</f>
        <v/>
      </c>
      <c r="E12" s="15">
        <f>B12-C12-D12</f>
        <v/>
      </c>
      <c r="F12" s="17" t="n"/>
      <c r="G12" s="17" t="n"/>
      <c r="H12" s="17" t="n"/>
      <c r="I12" s="17" t="n"/>
      <c r="J12" s="17" t="n"/>
      <c r="K12" s="10" t="n"/>
    </row>
    <row r="13">
      <c r="A13" s="11" t="n">
        <v>2037</v>
      </c>
      <c r="B13" s="13">
        <f>Revenue!F13</f>
        <v/>
      </c>
      <c r="C13" s="13">
        <f>Expenses!N13</f>
        <v/>
      </c>
      <c r="D13" s="13">
        <f>Capex!B13</f>
        <v/>
      </c>
      <c r="E13" s="15">
        <f>B13-C13-D13</f>
        <v/>
      </c>
      <c r="F13" s="17" t="n"/>
      <c r="G13" s="17" t="n"/>
      <c r="H13" s="17" t="n"/>
      <c r="I13" s="17" t="n"/>
      <c r="J13" s="17" t="n"/>
      <c r="K13" s="10" t="n"/>
    </row>
    <row r="14">
      <c r="A14" s="11" t="n">
        <v>2038</v>
      </c>
      <c r="B14" s="13">
        <f>Revenue!F14</f>
        <v/>
      </c>
      <c r="C14" s="13">
        <f>Expenses!N14</f>
        <v/>
      </c>
      <c r="D14" s="13">
        <f>Capex!B14</f>
        <v/>
      </c>
      <c r="E14" s="15">
        <f>B14-C14-D14</f>
        <v/>
      </c>
      <c r="F14" s="17" t="n"/>
      <c r="G14" s="17" t="n"/>
      <c r="H14" s="17" t="n"/>
      <c r="I14" s="17" t="n"/>
      <c r="J14" s="17" t="n"/>
      <c r="K14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SENSITIVITY ANALYSIS: Revenue by Yield Scenario</t>
        </is>
      </c>
    </row>
    <row r="2">
      <c r="A2" s="7" t="inlineStr">
        <is>
          <t>Year</t>
        </is>
      </c>
      <c r="B2" s="7" t="inlineStr">
        <is>
          <t>Conservative (1,000/ha)</t>
        </is>
      </c>
      <c r="C2" s="7" t="inlineStr">
        <is>
          <t>Base (2,000/ha)</t>
        </is>
      </c>
      <c r="D2" s="7" t="inlineStr">
        <is>
          <t>Optimistic (3,000/ha)</t>
        </is>
      </c>
      <c r="E2" s="7" t="inlineStr">
        <is>
          <t>Cons. Cum Profit</t>
        </is>
      </c>
      <c r="F2" s="7" t="inlineStr">
        <is>
          <t>Base Cum Profit</t>
        </is>
      </c>
      <c r="G2" s="7" t="inlineStr">
        <is>
          <t>Opt. Cum Profit</t>
        </is>
      </c>
    </row>
    <row r="3">
      <c r="A3" s="11" t="n">
        <v>2026</v>
      </c>
      <c r="B3" s="9">
        <f>Revenue!C2*0.5+Revenue!D2+Revenue!E2</f>
        <v/>
      </c>
      <c r="C3" s="9">
        <f>Revenue!F2</f>
        <v/>
      </c>
      <c r="D3" s="9">
        <f>Revenue!C2*1.5+Revenue!D2+Revenue!E2</f>
        <v/>
      </c>
      <c r="E3">
        <f>B3-Expenses!N2-Capex!B2</f>
        <v/>
      </c>
      <c r="F3">
        <f>C3-Expenses!N2-Capex!B2</f>
        <v/>
      </c>
      <c r="G3">
        <f>D3-Expenses!N2-Capex!B2</f>
        <v/>
      </c>
    </row>
    <row r="4">
      <c r="A4" s="11" t="n">
        <v>2027</v>
      </c>
      <c r="B4" s="9">
        <f>Revenue!C3*0.5+Revenue!D3+Revenue!E3</f>
        <v/>
      </c>
      <c r="C4" s="9">
        <f>Revenue!F3</f>
        <v/>
      </c>
      <c r="D4" s="9">
        <f>Revenue!C3*1.5+Revenue!D3+Revenue!E3</f>
        <v/>
      </c>
      <c r="E4">
        <f>E3+B4-Expenses!N3-Capex!B3</f>
        <v/>
      </c>
      <c r="F4">
        <f>F3+C4-Expenses!N3-Capex!B3</f>
        <v/>
      </c>
      <c r="G4">
        <f>G3+D4-Expenses!N3-Capex!B3</f>
        <v/>
      </c>
    </row>
    <row r="5">
      <c r="A5" s="11" t="n">
        <v>2028</v>
      </c>
      <c r="B5" s="9">
        <f>Revenue!C4*0.5+Revenue!D4+Revenue!E4</f>
        <v/>
      </c>
      <c r="C5" s="9">
        <f>Revenue!F4</f>
        <v/>
      </c>
      <c r="D5" s="9">
        <f>Revenue!C4*1.5+Revenue!D4+Revenue!E4</f>
        <v/>
      </c>
      <c r="E5">
        <f>E4+B5-Expenses!N4-Capex!B4</f>
        <v/>
      </c>
      <c r="F5">
        <f>F4+C5-Expenses!N4-Capex!B4</f>
        <v/>
      </c>
      <c r="G5">
        <f>G4+D5-Expenses!N4-Capex!B4</f>
        <v/>
      </c>
    </row>
    <row r="6">
      <c r="A6" s="11" t="n">
        <v>2029</v>
      </c>
      <c r="B6" s="9">
        <f>Revenue!C5*0.5+Revenue!D5+Revenue!E5</f>
        <v/>
      </c>
      <c r="C6" s="9">
        <f>Revenue!F5</f>
        <v/>
      </c>
      <c r="D6" s="9">
        <f>Revenue!C5*1.5+Revenue!D5+Revenue!E5</f>
        <v/>
      </c>
      <c r="E6">
        <f>E5+B6-Expenses!N5-Capex!B5</f>
        <v/>
      </c>
      <c r="F6">
        <f>F5+C6-Expenses!N5-Capex!B5</f>
        <v/>
      </c>
      <c r="G6">
        <f>G5+D6-Expenses!N5-Capex!B5</f>
        <v/>
      </c>
    </row>
    <row r="7">
      <c r="A7" s="11" t="n">
        <v>2030</v>
      </c>
      <c r="B7" s="9">
        <f>Revenue!C6*0.5+Revenue!D6+Revenue!E6</f>
        <v/>
      </c>
      <c r="C7" s="9">
        <f>Revenue!F6</f>
        <v/>
      </c>
      <c r="D7" s="9">
        <f>Revenue!C6*1.5+Revenue!D6+Revenue!E6</f>
        <v/>
      </c>
      <c r="E7">
        <f>E6+B7-Expenses!N6-Capex!B6</f>
        <v/>
      </c>
      <c r="F7">
        <f>F6+C7-Expenses!N6-Capex!B6</f>
        <v/>
      </c>
      <c r="G7">
        <f>G6+D7-Expenses!N6-Capex!B6</f>
        <v/>
      </c>
    </row>
    <row r="8">
      <c r="A8" s="11" t="n">
        <v>2031</v>
      </c>
      <c r="B8" s="9">
        <f>Revenue!C7*0.5+Revenue!D7+Revenue!E7</f>
        <v/>
      </c>
      <c r="C8" s="9">
        <f>Revenue!F7</f>
        <v/>
      </c>
      <c r="D8" s="9">
        <f>Revenue!C7*1.5+Revenue!D7+Revenue!E7</f>
        <v/>
      </c>
      <c r="E8">
        <f>E7+B8-Expenses!N7-Capex!B7</f>
        <v/>
      </c>
      <c r="F8">
        <f>F7+C8-Expenses!N7-Capex!B7</f>
        <v/>
      </c>
      <c r="G8">
        <f>G7+D8-Expenses!N7-Capex!B7</f>
        <v/>
      </c>
    </row>
    <row r="9">
      <c r="A9" s="11" t="n">
        <v>2032</v>
      </c>
      <c r="B9" s="9">
        <f>Revenue!C8*0.5+Revenue!D8+Revenue!E8</f>
        <v/>
      </c>
      <c r="C9" s="9">
        <f>Revenue!F8</f>
        <v/>
      </c>
      <c r="D9" s="9">
        <f>Revenue!C8*1.5+Revenue!D8+Revenue!E8</f>
        <v/>
      </c>
      <c r="E9">
        <f>E8+B9-Expenses!N8-Capex!B8</f>
        <v/>
      </c>
      <c r="F9">
        <f>F8+C9-Expenses!N8-Capex!B8</f>
        <v/>
      </c>
      <c r="G9">
        <f>G8+D9-Expenses!N8-Capex!B8</f>
        <v/>
      </c>
    </row>
    <row r="10">
      <c r="A10" s="11" t="n">
        <v>2033</v>
      </c>
      <c r="B10" s="9">
        <f>Revenue!C9*0.5+Revenue!D9+Revenue!E9</f>
        <v/>
      </c>
      <c r="C10" s="9">
        <f>Revenue!F9</f>
        <v/>
      </c>
      <c r="D10" s="9">
        <f>Revenue!C9*1.5+Revenue!D9+Revenue!E9</f>
        <v/>
      </c>
      <c r="E10">
        <f>E9+B10-Expenses!N9-Capex!B9</f>
        <v/>
      </c>
      <c r="F10">
        <f>F9+C10-Expenses!N9-Capex!B9</f>
        <v/>
      </c>
      <c r="G10">
        <f>G9+D10-Expenses!N9-Capex!B9</f>
        <v/>
      </c>
    </row>
    <row r="11">
      <c r="A11" s="11" t="n">
        <v>2034</v>
      </c>
      <c r="B11" s="9">
        <f>Revenue!C10*0.5+Revenue!D10+Revenue!E10</f>
        <v/>
      </c>
      <c r="C11" s="9">
        <f>Revenue!F10</f>
        <v/>
      </c>
      <c r="D11" s="9">
        <f>Revenue!C10*1.5+Revenue!D10+Revenue!E10</f>
        <v/>
      </c>
      <c r="E11">
        <f>E10+B11-Expenses!N10-Capex!B10</f>
        <v/>
      </c>
      <c r="F11">
        <f>F10+C11-Expenses!N10-Capex!B10</f>
        <v/>
      </c>
      <c r="G11">
        <f>G10+D11-Expenses!N10-Capex!B10</f>
        <v/>
      </c>
    </row>
    <row r="12">
      <c r="A12" s="11" t="n">
        <v>2035</v>
      </c>
      <c r="B12" s="9">
        <f>Revenue!C11*0.5+Revenue!D11+Revenue!E11</f>
        <v/>
      </c>
      <c r="C12" s="9">
        <f>Revenue!F11</f>
        <v/>
      </c>
      <c r="D12" s="9">
        <f>Revenue!C11*1.5+Revenue!D11+Revenue!E11</f>
        <v/>
      </c>
      <c r="E12">
        <f>E11+B12-Expenses!N11-Capex!B11</f>
        <v/>
      </c>
      <c r="F12">
        <f>F11+C12-Expenses!N11-Capex!B11</f>
        <v/>
      </c>
      <c r="G12">
        <f>G11+D12-Expenses!N11-Capex!B11</f>
        <v/>
      </c>
    </row>
    <row r="13">
      <c r="A13" s="11" t="n">
        <v>2036</v>
      </c>
      <c r="B13" s="9">
        <f>Revenue!C12*0.5+Revenue!D12+Revenue!E12</f>
        <v/>
      </c>
      <c r="C13" s="9">
        <f>Revenue!F12</f>
        <v/>
      </c>
      <c r="D13" s="9">
        <f>Revenue!C12*1.5+Revenue!D12+Revenue!E12</f>
        <v/>
      </c>
      <c r="E13">
        <f>E12+B13-Expenses!N12-Capex!B12</f>
        <v/>
      </c>
      <c r="F13">
        <f>F12+C13-Expenses!N12-Capex!B12</f>
        <v/>
      </c>
      <c r="G13">
        <f>G12+D13-Expenses!N12-Capex!B12</f>
        <v/>
      </c>
    </row>
    <row r="14">
      <c r="A14" s="11" t="n">
        <v>2037</v>
      </c>
      <c r="B14" s="9">
        <f>Revenue!C13*0.5+Revenue!D13+Revenue!E13</f>
        <v/>
      </c>
      <c r="C14" s="9">
        <f>Revenue!F13</f>
        <v/>
      </c>
      <c r="D14" s="9">
        <f>Revenue!C13*1.5+Revenue!D13+Revenue!E13</f>
        <v/>
      </c>
      <c r="E14">
        <f>E13+B14-Expenses!N13-Capex!B13</f>
        <v/>
      </c>
      <c r="F14">
        <f>F13+C14-Expenses!N13-Capex!B13</f>
        <v/>
      </c>
      <c r="G14">
        <f>G13+D14-Expenses!N13-Capex!B13</f>
        <v/>
      </c>
    </row>
    <row r="15">
      <c r="A15" s="11" t="n">
        <v>2038</v>
      </c>
      <c r="B15" s="9">
        <f>Revenue!C14*0.5+Revenue!D14+Revenue!E14</f>
        <v/>
      </c>
      <c r="C15" s="9">
        <f>Revenue!F14</f>
        <v/>
      </c>
      <c r="D15" s="9">
        <f>Revenue!C14*1.5+Revenue!D14+Revenue!E14</f>
        <v/>
      </c>
      <c r="E15">
        <f>E14+B15-Expenses!N14-Capex!B14</f>
        <v/>
      </c>
      <c r="F15">
        <f>F14+C15-Expenses!N14-Capex!B14</f>
        <v/>
      </c>
      <c r="G15">
        <f>G14+D15-Expenses!N14-Capex!B14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2026-03-30T02:50:33Z</dcterms:created>
  <dcterms:modified xmlns:dcterms="http://purl.org/dc/terms/" xmlns:xsi="http://www.w3.org/2001/XMLSchema-instance" xsi:type="dcterms:W3CDTF">2026-04-15T02:18:54Z</dcterms:modified>
</cp:coreProperties>
</file>