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roduction" sheetId="2" state="visible" r:id="rId2"/>
    <sheet xmlns:r="http://schemas.openxmlformats.org/officeDocument/2006/relationships" name="Revenue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Capex" sheetId="5" state="visible" r:id="rId5"/>
    <sheet xmlns:r="http://schemas.openxmlformats.org/officeDocument/2006/relationships" name="Cash Flow" sheetId="6" state="visible" r:id="rId6"/>
    <sheet xmlns:r="http://schemas.openxmlformats.org/officeDocument/2006/relationships" name="Earn-Loss &amp; Dividends" sheetId="7" state="visible" r:id="rId7"/>
    <sheet xmlns:r="http://schemas.openxmlformats.org/officeDocument/2006/relationships" name="Sensitivit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000000"/>
      <sz val="11"/>
    </font>
    <font>
      <name val="Arial"/>
      <color rgb="000000FF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color rgb="00008000"/>
      <sz val="11"/>
    </font>
    <font>
      <name val="Arial"/>
      <sz val="10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wrapText="1"/>
    </xf>
    <xf numFmtId="3" fontId="3" fillId="4" borderId="1" pivotButton="0" quotePrefix="0" xfId="0"/>
    <xf numFmtId="164" fontId="3" fillId="4" borderId="1" pivotButton="0" quotePrefix="0" xfId="0"/>
    <xf numFmtId="4" fontId="3" fillId="4" borderId="1" pivotButton="0" quotePrefix="0" xfId="0"/>
    <xf numFmtId="1" fontId="3" fillId="4" borderId="1" pivotButton="0" quotePrefix="0" xfId="0"/>
    <xf numFmtId="0" fontId="4" fillId="2" borderId="1" applyAlignment="1" pivotButton="0" quotePrefix="0" xfId="0">
      <alignment horizontal="center" wrapText="1"/>
    </xf>
    <xf numFmtId="1" fontId="5" fillId="0" borderId="1" pivotButton="0" quotePrefix="0" xfId="0"/>
    <xf numFmtId="3" fontId="5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3" fontId="3" fillId="0" borderId="1" pivotButton="0" quotePrefix="0" xfId="0"/>
    <xf numFmtId="3" fontId="6" fillId="0" borderId="1" pivotButton="0" quotePrefix="0" xfId="0"/>
    <xf numFmtId="0" fontId="4" fillId="2" borderId="1" pivotButton="0" quotePrefix="0" xfId="0"/>
    <xf numFmtId="165" fontId="2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2" fillId="3" borderId="1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KEY PARAMETERS</t>
        </is>
      </c>
    </row>
    <row r="2">
      <c r="A2" s="2" t="inlineStr">
        <is>
          <t>Pole Price (MXN, FOB farm)</t>
        </is>
      </c>
      <c r="B2" s="3" t="n">
        <v>400</v>
      </c>
    </row>
    <row r="3">
      <c r="A3" s="2" t="inlineStr">
        <is>
          <t>Wastage %</t>
        </is>
      </c>
      <c r="B3" s="4" t="n">
        <v>0.15</v>
      </c>
    </row>
    <row r="4">
      <c r="A4" s="2" t="inlineStr">
        <is>
          <t>Yield yr5 (poles/ha)</t>
        </is>
      </c>
      <c r="B4" s="3" t="n">
        <v>500</v>
      </c>
    </row>
    <row r="5">
      <c r="A5" s="2" t="inlineStr">
        <is>
          <t>Yield yr6 (poles/ha)</t>
        </is>
      </c>
      <c r="B5" s="3" t="n">
        <v>1000</v>
      </c>
    </row>
    <row r="6">
      <c r="A6" s="2" t="inlineStr">
        <is>
          <t>Yield yr7+ (poles/ha)</t>
        </is>
      </c>
      <c r="B6" s="3" t="n">
        <v>2000</v>
      </c>
    </row>
    <row r="7">
      <c r="A7" s="2" t="inlineStr">
        <is>
          <t>Carbon Credit Rate (USD/ha/yr)</t>
        </is>
      </c>
      <c r="B7" s="5" t="n">
        <v>21</v>
      </c>
    </row>
    <row r="8">
      <c r="A8" s="2" t="inlineStr">
        <is>
          <t>FX Rate (MXN/USD)</t>
        </is>
      </c>
      <c r="B8" s="5" t="n">
        <v>17</v>
      </c>
    </row>
    <row r="9">
      <c r="A9" s="2" t="inlineStr">
        <is>
          <t>Bridge Funding (MXN)</t>
        </is>
      </c>
      <c r="B9" s="3" t="n">
        <v>5000000</v>
      </c>
    </row>
    <row r="10">
      <c r="A10" s="2" t="inlineStr">
        <is>
          <t>Major Funding (MXN)</t>
        </is>
      </c>
      <c r="B10" s="3" t="n">
        <v>18000000</v>
      </c>
    </row>
    <row r="11">
      <c r="A11" s="2" t="inlineStr">
        <is>
          <t>Major Funding Year</t>
        </is>
      </c>
      <c r="B11" s="6" t="n">
        <v>2028</v>
      </c>
    </row>
    <row r="12">
      <c r="A12" s="2" t="inlineStr">
        <is>
          <t>Mgmt Salary Base (MXN/month)</t>
        </is>
      </c>
      <c r="B12" s="3" t="n">
        <v>50000</v>
      </c>
    </row>
    <row r="13">
      <c r="A13" s="2" t="inlineStr">
        <is>
          <t>Mgmt Salary Growth %/yr</t>
        </is>
      </c>
      <c r="B13" s="4" t="n">
        <v>0.1</v>
      </c>
    </row>
    <row r="14">
      <c r="A14" s="2" t="inlineStr">
        <is>
          <t>Worker Day Rate (MXN)</t>
        </is>
      </c>
      <c r="B14" s="3" t="n">
        <v>600</v>
      </c>
    </row>
    <row r="15">
      <c r="A15" s="2" t="inlineStr">
        <is>
          <t>Supervisor Day Rate (MXN)</t>
        </is>
      </c>
      <c r="B15" s="3" t="n">
        <v>900</v>
      </c>
    </row>
    <row r="16">
      <c r="A16" s="2" t="inlineStr">
        <is>
          <t>Working Days/Month</t>
        </is>
      </c>
      <c r="B16" s="3" t="n">
        <v>25</v>
      </c>
    </row>
    <row r="17">
      <c r="A17" s="2" t="inlineStr">
        <is>
          <t>Seedling Price External (MXN)</t>
        </is>
      </c>
      <c r="B17" s="3" t="n">
        <v>35</v>
      </c>
    </row>
    <row r="18">
      <c r="A18" s="2" t="inlineStr">
        <is>
          <t>Seedling Price Internal (MXN)</t>
        </is>
      </c>
      <c r="B18" s="3" t="n">
        <v>10</v>
      </c>
    </row>
    <row r="19">
      <c r="A19" s="2" t="inlineStr">
        <is>
          <t>Seedlings per Ha</t>
        </is>
      </c>
      <c r="B19" s="3" t="n">
        <v>500</v>
      </c>
    </row>
    <row r="20">
      <c r="A20" s="2" t="inlineStr">
        <is>
          <t>Dividend Start Year</t>
        </is>
      </c>
      <c r="B20" s="6" t="n">
        <v>2030</v>
      </c>
    </row>
    <row r="21">
      <c r="A21" s="2" t="inlineStr">
        <is>
          <t>SG&amp;A Growth Rate %/yr</t>
        </is>
      </c>
      <c r="B21" s="4" t="n">
        <v>0.1</v>
      </c>
    </row>
    <row r="23">
      <c r="A23" s="1" t="inlineStr">
        <is>
          <t>OWNERSHIP STRUCTURE</t>
        </is>
      </c>
    </row>
    <row r="24">
      <c r="A24" s="2" t="inlineStr">
        <is>
          <t>Investor</t>
        </is>
      </c>
      <c r="B24" s="4" t="n">
        <v>0.25</v>
      </c>
    </row>
    <row r="25">
      <c r="A25" s="2" t="inlineStr">
        <is>
          <t>Ofir</t>
        </is>
      </c>
      <c r="B25" s="4" t="n">
        <v>0.15</v>
      </c>
    </row>
    <row r="26">
      <c r="A26" s="2" t="inlineStr">
        <is>
          <t>Rick</t>
        </is>
      </c>
      <c r="B26" s="4" t="n">
        <v>0.2</v>
      </c>
    </row>
    <row r="27">
      <c r="A27" s="2" t="inlineStr">
        <is>
          <t>Juan</t>
        </is>
      </c>
      <c r="B27" s="4" t="n">
        <v>0.2</v>
      </c>
    </row>
    <row r="28">
      <c r="A28" s="2" t="inlineStr">
        <is>
          <t>Diego</t>
        </is>
      </c>
      <c r="B28" s="4" t="n">
        <v>0.2</v>
      </c>
    </row>
    <row r="30">
      <c r="A30" s="1" t="inlineStr">
        <is>
          <t>PLANTING SCHEDULE</t>
        </is>
      </c>
    </row>
    <row r="31">
      <c r="A31" s="7" t="inlineStr">
        <is>
          <t>Year</t>
        </is>
      </c>
      <c r="B31" s="7" t="inlineStr">
        <is>
          <t>New Ha Planted</t>
        </is>
      </c>
      <c r="C31" s="7" t="inlineStr">
        <is>
          <t>Cumulative Ha</t>
        </is>
      </c>
    </row>
    <row r="32">
      <c r="A32" s="8" t="n">
        <v>2021</v>
      </c>
      <c r="B32" s="3" t="n">
        <v>10</v>
      </c>
      <c r="C32" s="9" t="n">
        <v>10</v>
      </c>
    </row>
    <row r="33">
      <c r="A33" s="8" t="n">
        <v>2026</v>
      </c>
      <c r="B33" s="3" t="n">
        <v>0</v>
      </c>
      <c r="C33" s="9">
        <f>C32+B33</f>
        <v/>
      </c>
    </row>
    <row r="34">
      <c r="A34" s="8" t="n">
        <v>2027</v>
      </c>
      <c r="B34" s="3" t="n">
        <v>20</v>
      </c>
      <c r="C34" s="9">
        <f>C33+B34</f>
        <v/>
      </c>
    </row>
    <row r="35">
      <c r="A35" s="8" t="n">
        <v>2028</v>
      </c>
      <c r="B35" s="3" t="n">
        <v>25</v>
      </c>
      <c r="C35" s="9">
        <f>C34+B35</f>
        <v/>
      </c>
    </row>
    <row r="36">
      <c r="A36" s="8" t="n">
        <v>2029</v>
      </c>
      <c r="B36" s="3" t="n">
        <v>25</v>
      </c>
      <c r="C36" s="9">
        <f>C35+B36</f>
        <v/>
      </c>
    </row>
    <row r="37">
      <c r="A37" s="8" t="n">
        <v>2030</v>
      </c>
      <c r="B37" s="3" t="n">
        <v>30</v>
      </c>
      <c r="C37" s="9">
        <f>C36+B37</f>
        <v/>
      </c>
    </row>
    <row r="38">
      <c r="A38" s="8" t="n">
        <v>2031</v>
      </c>
      <c r="B38" s="3" t="n">
        <v>35</v>
      </c>
      <c r="C38" s="9">
        <f>C37+B38</f>
        <v/>
      </c>
    </row>
    <row r="39">
      <c r="A39" s="8" t="n">
        <v>2032</v>
      </c>
      <c r="B39" s="3" t="n">
        <v>35</v>
      </c>
      <c r="C39" s="9">
        <f>C38+B39</f>
        <v/>
      </c>
    </row>
    <row r="40">
      <c r="A40" s="19" t="n">
        <v>2033</v>
      </c>
      <c r="B40" s="20" t="n">
        <v>10</v>
      </c>
    </row>
    <row r="41">
      <c r="A41" s="2" t="inlineStr">
        <is>
          <t>TOTAL</t>
        </is>
      </c>
      <c r="B41" s="10">
        <f>SUM(B32:B40)</f>
        <v/>
      </c>
      <c r="C41" s="10">
        <f>C39</f>
        <v/>
      </c>
    </row>
    <row r="42"/>
    <row r="43">
      <c r="A43" s="1" t="inlineStr">
        <is>
          <t>CAPEX ITEMS</t>
        </is>
      </c>
    </row>
    <row r="44">
      <c r="A44" s="7" t="inlineStr">
        <is>
          <t>Item</t>
        </is>
      </c>
      <c r="B44" s="7" t="inlineStr">
        <is>
          <t>Amount (MXN)</t>
        </is>
      </c>
      <c r="C44" s="7" t="inlineStr">
        <is>
          <t>Year</t>
        </is>
      </c>
    </row>
    <row r="45">
      <c r="A45" s="2" t="inlineStr">
        <is>
          <t>Land Title Regularization</t>
        </is>
      </c>
      <c r="B45" s="3" t="n">
        <v>38000</v>
      </c>
      <c r="C45" s="6" t="n">
        <v>2026</v>
      </c>
    </row>
    <row r="46">
      <c r="A46" s="2" t="inlineStr">
        <is>
          <t>Treatment Pools - Small (10 × 30 poles)</t>
        </is>
      </c>
      <c r="B46" s="3" t="n">
        <v>1300000</v>
      </c>
      <c r="C46" s="6" t="n">
        <v>2026</v>
      </c>
    </row>
    <row r="47">
      <c r="A47" s="2" t="inlineStr">
        <is>
          <t>Drying Yard</t>
        </is>
      </c>
      <c r="B47" s="3" t="n">
        <v>15000</v>
      </c>
      <c r="C47" s="6" t="n">
        <v>2026</v>
      </c>
    </row>
    <row r="48">
      <c r="A48" s="2" t="inlineStr">
        <is>
          <t>Warehouse Phase 1 (Azulillo)</t>
        </is>
      </c>
      <c r="B48" s="3" t="n">
        <v>130000</v>
      </c>
      <c r="C48" s="6" t="n">
        <v>2027</v>
      </c>
    </row>
    <row r="49">
      <c r="A49" s="2" t="inlineStr">
        <is>
          <t>Warehouse Phase 2 (Zapotal)</t>
        </is>
      </c>
      <c r="B49" s="3" t="n">
        <v>130000</v>
      </c>
      <c r="C49" s="6" t="n">
        <v>2029</v>
      </c>
    </row>
    <row r="50">
      <c r="A50" s="2" t="inlineStr">
        <is>
          <t>Bamboo Cabin + Kitchen</t>
        </is>
      </c>
      <c r="B50" s="3" t="n">
        <v>120000</v>
      </c>
      <c r="C50" s="6" t="n">
        <v>2027</v>
      </c>
    </row>
    <row r="51">
      <c r="A51" s="2" t="inlineStr">
        <is>
          <t>Platform + Warehouse Expansion</t>
        </is>
      </c>
      <c r="B51" s="3" t="n">
        <v>80000</v>
      </c>
      <c r="C51" s="6" t="n">
        <v>2028</v>
      </c>
    </row>
    <row r="52">
      <c r="A52" s="2" t="inlineStr">
        <is>
          <t>Road Improvements</t>
        </is>
      </c>
      <c r="B52" s="3" t="n">
        <v>500000</v>
      </c>
      <c r="C52" s="6" t="n">
        <v>2026</v>
      </c>
    </row>
    <row r="53">
      <c r="A53" s="2" t="inlineStr">
        <is>
          <t>Vehicles (Truck + 2 Pickups)</t>
        </is>
      </c>
      <c r="B53" s="3" t="n">
        <v>3000000</v>
      </c>
      <c r="C53" s="6" t="n">
        <v>2027</v>
      </c>
    </row>
    <row r="54">
      <c r="A54" s="2" t="inlineStr">
        <is>
          <t>Nursery Infrastructure</t>
        </is>
      </c>
      <c r="B54" s="3" t="n">
        <v>300000</v>
      </c>
      <c r="C54" s="6" t="n">
        <v>2026</v>
      </c>
    </row>
    <row r="55">
      <c r="A55" s="2" t="inlineStr">
        <is>
          <t>Showroom / Offices</t>
        </is>
      </c>
      <c r="B55" s="3" t="n">
        <v>500000</v>
      </c>
      <c r="C55" s="6" t="n">
        <v>2029</v>
      </c>
    </row>
    <row r="56">
      <c r="A56" s="2" t="inlineStr">
        <is>
          <t>ICC-ES Certification</t>
        </is>
      </c>
      <c r="B56" s="3" t="n">
        <v>2500000</v>
      </c>
      <c r="C56" s="6" t="n">
        <v>2031</v>
      </c>
    </row>
    <row r="57">
      <c r="A57" s="2" t="inlineStr">
        <is>
          <t>TOTAL CAPEX</t>
        </is>
      </c>
      <c r="B57" s="10">
        <f>SUM(B44:B55)</f>
        <v/>
      </c>
    </row>
    <row r="58"/>
    <row r="59">
      <c r="A59" s="1" t="inlineStr">
        <is>
          <t>TREATMENT POOL PARAMETERS</t>
        </is>
      </c>
    </row>
    <row r="60">
      <c r="A60" s="18" t="inlineStr">
        <is>
          <t>Small Pool: Poles per batch</t>
        </is>
      </c>
      <c r="B60" s="3" t="n">
        <v>30</v>
      </c>
    </row>
    <row r="61">
      <c r="A61" s="18" t="inlineStr">
        <is>
          <t>Small Pool: Days per batch</t>
        </is>
      </c>
      <c r="B61" s="3" t="n">
        <v>7</v>
      </c>
    </row>
    <row r="62">
      <c r="A62" s="18" t="inlineStr">
        <is>
          <t>Small Pool: Count</t>
        </is>
      </c>
      <c r="B62" s="3" t="n">
        <v>10</v>
      </c>
    </row>
    <row r="63">
      <c r="A63" s="18" t="inlineStr">
        <is>
          <t>Small Pool: Cost each (MXN)</t>
        </is>
      </c>
      <c r="B63" s="3" t="n">
        <v>130000</v>
      </c>
    </row>
    <row r="64">
      <c r="A64" s="18" t="inlineStr">
        <is>
          <t>Large Pool: Poles per batch</t>
        </is>
      </c>
      <c r="B64" s="3" t="n">
        <v>2000</v>
      </c>
    </row>
    <row r="65">
      <c r="A65" s="18" t="inlineStr">
        <is>
          <t>Large Pool: Days per treatment</t>
        </is>
      </c>
      <c r="B65" s="3" t="n">
        <v>60</v>
      </c>
    </row>
    <row r="66">
      <c r="A66" s="18" t="inlineStr">
        <is>
          <t>Large Pool: Cost each (MXN)</t>
        </is>
      </c>
      <c r="B66" s="3" t="n">
        <v>0</v>
      </c>
    </row>
    <row r="68">
      <c r="A68" s="18" t="inlineStr">
        <is>
          <t>Small Pools: Capacity/year</t>
        </is>
      </c>
      <c r="B68" s="9">
        <f>B61*(365/B60)*B59</f>
        <v/>
      </c>
    </row>
    <row r="69">
      <c r="A69" s="18" t="inlineStr">
        <is>
          <t>Large Pool: Capacity/year (each)</t>
        </is>
      </c>
      <c r="B69" s="9">
        <f>B63*(365/B64)</f>
        <v/>
      </c>
    </row>
  </sheetData>
  <mergeCells count="5">
    <mergeCell ref="A42:C42"/>
    <mergeCell ref="A58:C58"/>
    <mergeCell ref="A30:C30"/>
    <mergeCell ref="A1:B1"/>
    <mergeCell ref="A23:B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8" customWidth="1" min="14" max="14"/>
  </cols>
  <sheetData>
    <row r="1">
      <c r="A1" s="7" t="inlineStr">
        <is>
          <t>Year</t>
        </is>
      </c>
      <c r="B1" s="7" t="inlineStr">
        <is>
          <t>Base 10Ha</t>
        </is>
      </c>
      <c r="C1" s="7" t="inlineStr">
        <is>
          <t>2026 (0 ha)</t>
        </is>
      </c>
      <c r="D1" s="7" t="inlineStr">
        <is>
          <t>Plant 2027</t>
        </is>
      </c>
      <c r="E1" s="7" t="inlineStr">
        <is>
          <t>Plant 2028</t>
        </is>
      </c>
      <c r="F1" s="7" t="inlineStr">
        <is>
          <t>Plant 2029</t>
        </is>
      </c>
      <c r="G1" s="7" t="inlineStr">
        <is>
          <t>Plant 2030</t>
        </is>
      </c>
      <c r="H1" s="7" t="inlineStr">
        <is>
          <t>Plant 2031</t>
        </is>
      </c>
      <c r="I1" s="7" t="inlineStr">
        <is>
          <t>Plant 2032</t>
        </is>
      </c>
      <c r="J1" s="7" t="inlineStr">
        <is>
          <t>Gross Total</t>
        </is>
      </c>
      <c r="K1" s="7" t="inlineStr">
        <is>
          <t>Waste</t>
        </is>
      </c>
      <c r="L1" s="7" t="inlineStr">
        <is>
          <t>Net Poles</t>
        </is>
      </c>
    </row>
    <row r="2">
      <c r="A2" s="11" t="n">
        <v>2026</v>
      </c>
      <c r="B2" s="12" t="n">
        <v>1000</v>
      </c>
      <c r="C2" s="13">
        <f>IF(0&lt;5,0,IF(0=5,Assumptions!$B$4,IF(0=6,Assumptions!$B$5,Assumptions!$B$6)))*Assumptions!$B$33</f>
        <v/>
      </c>
      <c r="D2" s="13">
        <f>IF(-1&lt;5,0,IF(-1=5,Assumptions!$B$4,IF(-1=6,Assumptions!$B$5,Assumptions!$B$6)))*Assumptions!$B$34</f>
        <v/>
      </c>
      <c r="E2" s="13">
        <f>IF(-2&lt;5,0,IF(-2=5,Assumptions!$B$4,IF(-2=6,Assumptions!$B$5,Assumptions!$B$6)))*Assumptions!$B$35</f>
        <v/>
      </c>
      <c r="F2" s="13">
        <f>IF(-3&lt;5,0,IF(-3=5,Assumptions!$B$4,IF(-3=6,Assumptions!$B$5,Assumptions!$B$6)))*Assumptions!$B$36</f>
        <v/>
      </c>
      <c r="G2" s="13">
        <f>IF(-4&lt;5,0,IF(-4=5,Assumptions!$B$4,IF(-4=6,Assumptions!$B$5,Assumptions!$B$6)))*Assumptions!$B$37</f>
        <v/>
      </c>
      <c r="H2" s="13">
        <f>IF(-5&lt;5,0,IF(-5=5,Assumptions!$B$4,IF(-5=6,Assumptions!$B$5,Assumptions!$B$6)))*Assumptions!$B$38</f>
        <v/>
      </c>
      <c r="I2" s="13">
        <f>IF(-6&lt;5,0,IF(-6=5,Assumptions!$B$4,IF(-6=6,Assumptions!$B$5,Assumptions!$B$6)))*Assumptions!$B$39</f>
        <v/>
      </c>
      <c r="J2" s="10">
        <f>B2+SUM(C2:I2)</f>
        <v/>
      </c>
      <c r="K2" s="9">
        <f>J2*Assumptions!$B$3</f>
        <v/>
      </c>
      <c r="L2" s="10">
        <f>J2-K2</f>
        <v/>
      </c>
    </row>
    <row r="3">
      <c r="A3" s="11" t="n">
        <v>2027</v>
      </c>
      <c r="B3" s="12" t="n">
        <v>3000</v>
      </c>
      <c r="C3" s="13">
        <f>IF(1&lt;5,0,IF(1=5,Assumptions!$B$4,IF(1=6,Assumptions!$B$5,Assumptions!$B$6)))*Assumptions!$B$33</f>
        <v/>
      </c>
      <c r="D3" s="13">
        <f>IF(0&lt;5,0,IF(0=5,Assumptions!$B$4,IF(0=6,Assumptions!$B$5,Assumptions!$B$6)))*Assumptions!$B$34</f>
        <v/>
      </c>
      <c r="E3" s="13">
        <f>IF(-1&lt;5,0,IF(-1=5,Assumptions!$B$4,IF(-1=6,Assumptions!$B$5,Assumptions!$B$6)))*Assumptions!$B$35</f>
        <v/>
      </c>
      <c r="F3" s="13">
        <f>IF(-2&lt;5,0,IF(-2=5,Assumptions!$B$4,IF(-2=6,Assumptions!$B$5,Assumptions!$B$6)))*Assumptions!$B$36</f>
        <v/>
      </c>
      <c r="G3" s="13">
        <f>IF(-3&lt;5,0,IF(-3=5,Assumptions!$B$4,IF(-3=6,Assumptions!$B$5,Assumptions!$B$6)))*Assumptions!$B$37</f>
        <v/>
      </c>
      <c r="H3" s="13">
        <f>IF(-4&lt;5,0,IF(-4=5,Assumptions!$B$4,IF(-4=6,Assumptions!$B$5,Assumptions!$B$6)))*Assumptions!$B$38</f>
        <v/>
      </c>
      <c r="I3" s="13">
        <f>IF(-5&lt;5,0,IF(-5=5,Assumptions!$B$4,IF(-5=6,Assumptions!$B$5,Assumptions!$B$6)))*Assumptions!$B$39</f>
        <v/>
      </c>
      <c r="J3" s="10">
        <f>B3+SUM(C3:I3)</f>
        <v/>
      </c>
      <c r="K3" s="9">
        <f>J3*Assumptions!$B$3</f>
        <v/>
      </c>
      <c r="L3" s="10">
        <f>J3-K3</f>
        <v/>
      </c>
    </row>
    <row r="4">
      <c r="A4" s="11" t="n">
        <v>2028</v>
      </c>
      <c r="B4" s="12" t="n">
        <v>6000</v>
      </c>
      <c r="C4" s="13">
        <f>IF(2&lt;5,0,IF(2=5,Assumptions!$B$4,IF(2=6,Assumptions!$B$5,Assumptions!$B$6)))*Assumptions!$B$33</f>
        <v/>
      </c>
      <c r="D4" s="13">
        <f>IF(1&lt;5,0,IF(1=5,Assumptions!$B$4,IF(1=6,Assumptions!$B$5,Assumptions!$B$6)))*Assumptions!$B$34</f>
        <v/>
      </c>
      <c r="E4" s="13">
        <f>IF(0&lt;5,0,IF(0=5,Assumptions!$B$4,IF(0=6,Assumptions!$B$5,Assumptions!$B$6)))*Assumptions!$B$35</f>
        <v/>
      </c>
      <c r="F4" s="13">
        <f>IF(-1&lt;5,0,IF(-1=5,Assumptions!$B$4,IF(-1=6,Assumptions!$B$5,Assumptions!$B$6)))*Assumptions!$B$36</f>
        <v/>
      </c>
      <c r="G4" s="13">
        <f>IF(-2&lt;5,0,IF(-2=5,Assumptions!$B$4,IF(-2=6,Assumptions!$B$5,Assumptions!$B$6)))*Assumptions!$B$37</f>
        <v/>
      </c>
      <c r="H4" s="13">
        <f>IF(-3&lt;5,0,IF(-3=5,Assumptions!$B$4,IF(-3=6,Assumptions!$B$5,Assumptions!$B$6)))*Assumptions!$B$38</f>
        <v/>
      </c>
      <c r="I4" s="13">
        <f>IF(-4&lt;5,0,IF(-4=5,Assumptions!$B$4,IF(-4=6,Assumptions!$B$5,Assumptions!$B$6)))*Assumptions!$B$39</f>
        <v/>
      </c>
      <c r="J4" s="10">
        <f>B4+SUM(C4:I4)</f>
        <v/>
      </c>
      <c r="K4" s="9">
        <f>J4*Assumptions!$B$3</f>
        <v/>
      </c>
      <c r="L4" s="10">
        <f>J4-K4</f>
        <v/>
      </c>
    </row>
    <row r="5">
      <c r="A5" s="11" t="n">
        <v>2029</v>
      </c>
      <c r="B5" s="12" t="n">
        <v>12000</v>
      </c>
      <c r="C5" s="13">
        <f>IF(3&lt;5,0,IF(3=5,Assumptions!$B$4,IF(3=6,Assumptions!$B$5,Assumptions!$B$6)))*Assumptions!$B$33</f>
        <v/>
      </c>
      <c r="D5" s="13">
        <f>IF(2&lt;5,0,IF(2=5,Assumptions!$B$4,IF(2=6,Assumptions!$B$5,Assumptions!$B$6)))*Assumptions!$B$34</f>
        <v/>
      </c>
      <c r="E5" s="13">
        <f>IF(1&lt;5,0,IF(1=5,Assumptions!$B$4,IF(1=6,Assumptions!$B$5,Assumptions!$B$6)))*Assumptions!$B$35</f>
        <v/>
      </c>
      <c r="F5" s="13">
        <f>IF(0&lt;5,0,IF(0=5,Assumptions!$B$4,IF(0=6,Assumptions!$B$5,Assumptions!$B$6)))*Assumptions!$B$36</f>
        <v/>
      </c>
      <c r="G5" s="13">
        <f>IF(-1&lt;5,0,IF(-1=5,Assumptions!$B$4,IF(-1=6,Assumptions!$B$5,Assumptions!$B$6)))*Assumptions!$B$37</f>
        <v/>
      </c>
      <c r="H5" s="13">
        <f>IF(-2&lt;5,0,IF(-2=5,Assumptions!$B$4,IF(-2=6,Assumptions!$B$5,Assumptions!$B$6)))*Assumptions!$B$38</f>
        <v/>
      </c>
      <c r="I5" s="13">
        <f>IF(-3&lt;5,0,IF(-3=5,Assumptions!$B$4,IF(-3=6,Assumptions!$B$5,Assumptions!$B$6)))*Assumptions!$B$39</f>
        <v/>
      </c>
      <c r="J5" s="10">
        <f>B5+SUM(C5:I5)</f>
        <v/>
      </c>
      <c r="K5" s="9">
        <f>J5*Assumptions!$B$3</f>
        <v/>
      </c>
      <c r="L5" s="10">
        <f>J5-K5</f>
        <v/>
      </c>
    </row>
    <row r="6">
      <c r="A6" s="11" t="n">
        <v>2030</v>
      </c>
      <c r="B6" s="12" t="n">
        <v>18000</v>
      </c>
      <c r="C6" s="13">
        <f>IF(4&lt;5,0,IF(4=5,Assumptions!$B$4,IF(4=6,Assumptions!$B$5,Assumptions!$B$6)))*Assumptions!$B$33</f>
        <v/>
      </c>
      <c r="D6" s="13">
        <f>IF(3&lt;5,0,IF(3=5,Assumptions!$B$4,IF(3=6,Assumptions!$B$5,Assumptions!$B$6)))*Assumptions!$B$34</f>
        <v/>
      </c>
      <c r="E6" s="13">
        <f>IF(2&lt;5,0,IF(2=5,Assumptions!$B$4,IF(2=6,Assumptions!$B$5,Assumptions!$B$6)))*Assumptions!$B$35</f>
        <v/>
      </c>
      <c r="F6" s="13">
        <f>IF(1&lt;5,0,IF(1=5,Assumptions!$B$4,IF(1=6,Assumptions!$B$5,Assumptions!$B$6)))*Assumptions!$B$36</f>
        <v/>
      </c>
      <c r="G6" s="13">
        <f>IF(0&lt;5,0,IF(0=5,Assumptions!$B$4,IF(0=6,Assumptions!$B$5,Assumptions!$B$6)))*Assumptions!$B$37</f>
        <v/>
      </c>
      <c r="H6" s="13">
        <f>IF(-1&lt;5,0,IF(-1=5,Assumptions!$B$4,IF(-1=6,Assumptions!$B$5,Assumptions!$B$6)))*Assumptions!$B$38</f>
        <v/>
      </c>
      <c r="I6" s="13">
        <f>IF(-2&lt;5,0,IF(-2=5,Assumptions!$B$4,IF(-2=6,Assumptions!$B$5,Assumptions!$B$6)))*Assumptions!$B$39</f>
        <v/>
      </c>
      <c r="J6" s="10">
        <f>B6+SUM(C6:I6)</f>
        <v/>
      </c>
      <c r="K6" s="9">
        <f>J6*Assumptions!$B$3</f>
        <v/>
      </c>
      <c r="L6" s="10">
        <f>J6-K6</f>
        <v/>
      </c>
    </row>
    <row r="7">
      <c r="A7" s="11" t="n">
        <v>2031</v>
      </c>
      <c r="B7" s="12" t="n">
        <v>18000</v>
      </c>
      <c r="C7" s="13">
        <f>IF(5&lt;5,0,IF(5=5,Assumptions!$B$4,IF(5=6,Assumptions!$B$5,Assumptions!$B$6)))*Assumptions!$B$33</f>
        <v/>
      </c>
      <c r="D7" s="13">
        <f>IF(4&lt;5,0,IF(4=5,Assumptions!$B$4,IF(4=6,Assumptions!$B$5,Assumptions!$B$6)))*Assumptions!$B$34</f>
        <v/>
      </c>
      <c r="E7" s="13">
        <f>IF(3&lt;5,0,IF(3=5,Assumptions!$B$4,IF(3=6,Assumptions!$B$5,Assumptions!$B$6)))*Assumptions!$B$35</f>
        <v/>
      </c>
      <c r="F7" s="13">
        <f>IF(2&lt;5,0,IF(2=5,Assumptions!$B$4,IF(2=6,Assumptions!$B$5,Assumptions!$B$6)))*Assumptions!$B$36</f>
        <v/>
      </c>
      <c r="G7" s="13">
        <f>IF(1&lt;5,0,IF(1=5,Assumptions!$B$4,IF(1=6,Assumptions!$B$5,Assumptions!$B$6)))*Assumptions!$B$37</f>
        <v/>
      </c>
      <c r="H7" s="13">
        <f>IF(0&lt;5,0,IF(0=5,Assumptions!$B$4,IF(0=6,Assumptions!$B$5,Assumptions!$B$6)))*Assumptions!$B$38</f>
        <v/>
      </c>
      <c r="I7" s="13">
        <f>IF(-1&lt;5,0,IF(-1=5,Assumptions!$B$4,IF(-1=6,Assumptions!$B$5,Assumptions!$B$6)))*Assumptions!$B$39</f>
        <v/>
      </c>
      <c r="J7" s="10">
        <f>B7+SUM(C7:I7)</f>
        <v/>
      </c>
      <c r="K7" s="9">
        <f>J7*Assumptions!$B$3</f>
        <v/>
      </c>
      <c r="L7" s="10">
        <f>J7-K7</f>
        <v/>
      </c>
    </row>
    <row r="8">
      <c r="A8" s="11" t="n">
        <v>2032</v>
      </c>
      <c r="B8" s="12" t="n">
        <v>18000</v>
      </c>
      <c r="C8" s="13">
        <f>IF(6&lt;5,0,IF(6=5,Assumptions!$B$4,IF(6=6,Assumptions!$B$5,Assumptions!$B$6)))*Assumptions!$B$33</f>
        <v/>
      </c>
      <c r="D8" s="13">
        <f>IF(5&lt;5,0,IF(5=5,Assumptions!$B$4,IF(5=6,Assumptions!$B$5,Assumptions!$B$6)))*Assumptions!$B$34</f>
        <v/>
      </c>
      <c r="E8" s="13">
        <f>IF(4&lt;5,0,IF(4=5,Assumptions!$B$4,IF(4=6,Assumptions!$B$5,Assumptions!$B$6)))*Assumptions!$B$35</f>
        <v/>
      </c>
      <c r="F8" s="13">
        <f>IF(3&lt;5,0,IF(3=5,Assumptions!$B$4,IF(3=6,Assumptions!$B$5,Assumptions!$B$6)))*Assumptions!$B$36</f>
        <v/>
      </c>
      <c r="G8" s="13">
        <f>IF(2&lt;5,0,IF(2=5,Assumptions!$B$4,IF(2=6,Assumptions!$B$5,Assumptions!$B$6)))*Assumptions!$B$37</f>
        <v/>
      </c>
      <c r="H8" s="13">
        <f>IF(1&lt;5,0,IF(1=5,Assumptions!$B$4,IF(1=6,Assumptions!$B$5,Assumptions!$B$6)))*Assumptions!$B$38</f>
        <v/>
      </c>
      <c r="I8" s="13">
        <f>IF(0&lt;5,0,IF(0=5,Assumptions!$B$4,IF(0=6,Assumptions!$B$5,Assumptions!$B$6)))*Assumptions!$B$39</f>
        <v/>
      </c>
      <c r="J8" s="10">
        <f>B8+SUM(C8:I8)</f>
        <v/>
      </c>
      <c r="K8" s="9">
        <f>J8*Assumptions!$B$3</f>
        <v/>
      </c>
      <c r="L8" s="10">
        <f>J8-K8</f>
        <v/>
      </c>
    </row>
    <row r="9">
      <c r="A9" s="11" t="n">
        <v>2033</v>
      </c>
      <c r="B9" s="12" t="n">
        <v>18000</v>
      </c>
      <c r="C9" s="13">
        <f>IF(7&lt;5,0,IF(7=5,Assumptions!$B$4,IF(7=6,Assumptions!$B$5,Assumptions!$B$6)))*Assumptions!$B$33</f>
        <v/>
      </c>
      <c r="D9" s="13">
        <f>IF(6&lt;5,0,IF(6=5,Assumptions!$B$4,IF(6=6,Assumptions!$B$5,Assumptions!$B$6)))*Assumptions!$B$34</f>
        <v/>
      </c>
      <c r="E9" s="13">
        <f>IF(5&lt;5,0,IF(5=5,Assumptions!$B$4,IF(5=6,Assumptions!$B$5,Assumptions!$B$6)))*Assumptions!$B$35</f>
        <v/>
      </c>
      <c r="F9" s="13">
        <f>IF(4&lt;5,0,IF(4=5,Assumptions!$B$4,IF(4=6,Assumptions!$B$5,Assumptions!$B$6)))*Assumptions!$B$36</f>
        <v/>
      </c>
      <c r="G9" s="13">
        <f>IF(3&lt;5,0,IF(3=5,Assumptions!$B$4,IF(3=6,Assumptions!$B$5,Assumptions!$B$6)))*Assumptions!$B$37</f>
        <v/>
      </c>
      <c r="H9" s="13">
        <f>IF(2&lt;5,0,IF(2=5,Assumptions!$B$4,IF(2=6,Assumptions!$B$5,Assumptions!$B$6)))*Assumptions!$B$38</f>
        <v/>
      </c>
      <c r="I9" s="13">
        <f>IF(1&lt;5,0,IF(1=5,Assumptions!$B$4,IF(1=6,Assumptions!$B$5,Assumptions!$B$6)))*Assumptions!$B$39</f>
        <v/>
      </c>
      <c r="J9" s="10">
        <f>B9+SUM(C9:I9)</f>
        <v/>
      </c>
      <c r="K9" s="9">
        <f>J9*Assumptions!$B$3</f>
        <v/>
      </c>
      <c r="L9" s="10">
        <f>J9-K9</f>
        <v/>
      </c>
    </row>
    <row r="10">
      <c r="A10" s="11" t="n">
        <v>2034</v>
      </c>
      <c r="B10" s="12" t="n">
        <v>18000</v>
      </c>
      <c r="C10" s="13">
        <f>IF(8&lt;5,0,IF(8=5,Assumptions!$B$4,IF(8=6,Assumptions!$B$5,Assumptions!$B$6)))*Assumptions!$B$33</f>
        <v/>
      </c>
      <c r="D10" s="13">
        <f>IF(7&lt;5,0,IF(7=5,Assumptions!$B$4,IF(7=6,Assumptions!$B$5,Assumptions!$B$6)))*Assumptions!$B$34</f>
        <v/>
      </c>
      <c r="E10" s="13">
        <f>IF(6&lt;5,0,IF(6=5,Assumptions!$B$4,IF(6=6,Assumptions!$B$5,Assumptions!$B$6)))*Assumptions!$B$35</f>
        <v/>
      </c>
      <c r="F10" s="13">
        <f>IF(5&lt;5,0,IF(5=5,Assumptions!$B$4,IF(5=6,Assumptions!$B$5,Assumptions!$B$6)))*Assumptions!$B$36</f>
        <v/>
      </c>
      <c r="G10" s="13">
        <f>IF(4&lt;5,0,IF(4=5,Assumptions!$B$4,IF(4=6,Assumptions!$B$5,Assumptions!$B$6)))*Assumptions!$B$37</f>
        <v/>
      </c>
      <c r="H10" s="13">
        <f>IF(3&lt;5,0,IF(3=5,Assumptions!$B$4,IF(3=6,Assumptions!$B$5,Assumptions!$B$6)))*Assumptions!$B$38</f>
        <v/>
      </c>
      <c r="I10" s="13">
        <f>IF(2&lt;5,0,IF(2=5,Assumptions!$B$4,IF(2=6,Assumptions!$B$5,Assumptions!$B$6)))*Assumptions!$B$39</f>
        <v/>
      </c>
      <c r="J10" s="10">
        <f>B10+SUM(C10:I10)</f>
        <v/>
      </c>
      <c r="K10" s="9">
        <f>J10*Assumptions!$B$3</f>
        <v/>
      </c>
      <c r="L10" s="10">
        <f>J10-K10</f>
        <v/>
      </c>
    </row>
    <row r="11">
      <c r="A11" s="11" t="n">
        <v>2035</v>
      </c>
      <c r="B11" s="12" t="n">
        <v>18000</v>
      </c>
      <c r="C11" s="13">
        <f>IF(9&lt;5,0,IF(9=5,Assumptions!$B$4,IF(9=6,Assumptions!$B$5,Assumptions!$B$6)))*Assumptions!$B$33</f>
        <v/>
      </c>
      <c r="D11" s="13">
        <f>IF(8&lt;5,0,IF(8=5,Assumptions!$B$4,IF(8=6,Assumptions!$B$5,Assumptions!$B$6)))*Assumptions!$B$34</f>
        <v/>
      </c>
      <c r="E11" s="13">
        <f>IF(7&lt;5,0,IF(7=5,Assumptions!$B$4,IF(7=6,Assumptions!$B$5,Assumptions!$B$6)))*Assumptions!$B$35</f>
        <v/>
      </c>
      <c r="F11" s="13">
        <f>IF(6&lt;5,0,IF(6=5,Assumptions!$B$4,IF(6=6,Assumptions!$B$5,Assumptions!$B$6)))*Assumptions!$B$36</f>
        <v/>
      </c>
      <c r="G11" s="13">
        <f>IF(5&lt;5,0,IF(5=5,Assumptions!$B$4,IF(5=6,Assumptions!$B$5,Assumptions!$B$6)))*Assumptions!$B$37</f>
        <v/>
      </c>
      <c r="H11" s="13">
        <f>IF(4&lt;5,0,IF(4=5,Assumptions!$B$4,IF(4=6,Assumptions!$B$5,Assumptions!$B$6)))*Assumptions!$B$38</f>
        <v/>
      </c>
      <c r="I11" s="13">
        <f>IF(3&lt;5,0,IF(3=5,Assumptions!$B$4,IF(3=6,Assumptions!$B$5,Assumptions!$B$6)))*Assumptions!$B$39</f>
        <v/>
      </c>
      <c r="J11" s="10">
        <f>B11+SUM(C11:I11)</f>
        <v/>
      </c>
      <c r="K11" s="9">
        <f>J11*Assumptions!$B$3</f>
        <v/>
      </c>
      <c r="L11" s="10">
        <f>J11-K11</f>
        <v/>
      </c>
    </row>
    <row r="12">
      <c r="A12" s="11" t="n">
        <v>2036</v>
      </c>
      <c r="B12" s="12" t="n">
        <v>18000</v>
      </c>
      <c r="C12" s="13">
        <f>IF(10&lt;5,0,IF(10=5,Assumptions!$B$4,IF(10=6,Assumptions!$B$5,Assumptions!$B$6)))*Assumptions!$B$33</f>
        <v/>
      </c>
      <c r="D12" s="13">
        <f>IF(9&lt;5,0,IF(9=5,Assumptions!$B$4,IF(9=6,Assumptions!$B$5,Assumptions!$B$6)))*Assumptions!$B$34</f>
        <v/>
      </c>
      <c r="E12" s="13">
        <f>IF(8&lt;5,0,IF(8=5,Assumptions!$B$4,IF(8=6,Assumptions!$B$5,Assumptions!$B$6)))*Assumptions!$B$35</f>
        <v/>
      </c>
      <c r="F12" s="13">
        <f>IF(7&lt;5,0,IF(7=5,Assumptions!$B$4,IF(7=6,Assumptions!$B$5,Assumptions!$B$6)))*Assumptions!$B$36</f>
        <v/>
      </c>
      <c r="G12" s="13">
        <f>IF(6&lt;5,0,IF(6=5,Assumptions!$B$4,IF(6=6,Assumptions!$B$5,Assumptions!$B$6)))*Assumptions!$B$37</f>
        <v/>
      </c>
      <c r="H12" s="13">
        <f>IF(5&lt;5,0,IF(5=5,Assumptions!$B$4,IF(5=6,Assumptions!$B$5,Assumptions!$B$6)))*Assumptions!$B$38</f>
        <v/>
      </c>
      <c r="I12" s="13">
        <f>IF(4&lt;5,0,IF(4=5,Assumptions!$B$4,IF(4=6,Assumptions!$B$5,Assumptions!$B$6)))*Assumptions!$B$39</f>
        <v/>
      </c>
      <c r="J12" s="10">
        <f>B12+SUM(C12:I12)</f>
        <v/>
      </c>
      <c r="K12" s="9">
        <f>J12*Assumptions!$B$3</f>
        <v/>
      </c>
      <c r="L12" s="10">
        <f>J12-K12</f>
        <v/>
      </c>
    </row>
    <row r="13">
      <c r="A13" s="11" t="n">
        <v>2037</v>
      </c>
      <c r="B13" s="12" t="n">
        <v>18000</v>
      </c>
      <c r="C13" s="13">
        <f>IF(11&lt;5,0,IF(11=5,Assumptions!$B$4,IF(11=6,Assumptions!$B$5,Assumptions!$B$6)))*Assumptions!$B$33</f>
        <v/>
      </c>
      <c r="D13" s="13">
        <f>IF(10&lt;5,0,IF(10=5,Assumptions!$B$4,IF(10=6,Assumptions!$B$5,Assumptions!$B$6)))*Assumptions!$B$34</f>
        <v/>
      </c>
      <c r="E13" s="13">
        <f>IF(9&lt;5,0,IF(9=5,Assumptions!$B$4,IF(9=6,Assumptions!$B$5,Assumptions!$B$6)))*Assumptions!$B$35</f>
        <v/>
      </c>
      <c r="F13" s="13">
        <f>IF(8&lt;5,0,IF(8=5,Assumptions!$B$4,IF(8=6,Assumptions!$B$5,Assumptions!$B$6)))*Assumptions!$B$36</f>
        <v/>
      </c>
      <c r="G13" s="13">
        <f>IF(7&lt;5,0,IF(7=5,Assumptions!$B$4,IF(7=6,Assumptions!$B$5,Assumptions!$B$6)))*Assumptions!$B$37</f>
        <v/>
      </c>
      <c r="H13" s="13">
        <f>IF(6&lt;5,0,IF(6=5,Assumptions!$B$4,IF(6=6,Assumptions!$B$5,Assumptions!$B$6)))*Assumptions!$B$38</f>
        <v/>
      </c>
      <c r="I13" s="13">
        <f>IF(5&lt;5,0,IF(5=5,Assumptions!$B$4,IF(5=6,Assumptions!$B$5,Assumptions!$B$6)))*Assumptions!$B$39</f>
        <v/>
      </c>
      <c r="J13" s="10">
        <f>B13+SUM(C13:I13)</f>
        <v/>
      </c>
      <c r="K13" s="9">
        <f>J13*Assumptions!$B$3</f>
        <v/>
      </c>
      <c r="L13" s="10">
        <f>J13-K13</f>
        <v/>
      </c>
    </row>
    <row r="14">
      <c r="A14" s="11" t="n">
        <v>2038</v>
      </c>
      <c r="B14" s="12" t="n">
        <v>18000</v>
      </c>
      <c r="C14" s="13">
        <f>IF(12&lt;5,0,IF(12=5,Assumptions!$B$4,IF(12=6,Assumptions!$B$5,Assumptions!$B$6)))*Assumptions!$B$33</f>
        <v/>
      </c>
      <c r="D14" s="13">
        <f>IF(11&lt;5,0,IF(11=5,Assumptions!$B$4,IF(11=6,Assumptions!$B$5,Assumptions!$B$6)))*Assumptions!$B$34</f>
        <v/>
      </c>
      <c r="E14" s="13">
        <f>IF(10&lt;5,0,IF(10=5,Assumptions!$B$4,IF(10=6,Assumptions!$B$5,Assumptions!$B$6)))*Assumptions!$B$35</f>
        <v/>
      </c>
      <c r="F14" s="13">
        <f>IF(9&lt;5,0,IF(9=5,Assumptions!$B$4,IF(9=6,Assumptions!$B$5,Assumptions!$B$6)))*Assumptions!$B$36</f>
        <v/>
      </c>
      <c r="G14" s="13">
        <f>IF(8&lt;5,0,IF(8=5,Assumptions!$B$4,IF(8=6,Assumptions!$B$5,Assumptions!$B$6)))*Assumptions!$B$37</f>
        <v/>
      </c>
      <c r="H14" s="13">
        <f>IF(7&lt;5,0,IF(7=5,Assumptions!$B$4,IF(7=6,Assumptions!$B$5,Assumptions!$B$6)))*Assumptions!$B$38</f>
        <v/>
      </c>
      <c r="I14" s="13">
        <f>IF(6&lt;5,0,IF(6=5,Assumptions!$B$4,IF(6=6,Assumptions!$B$5,Assumptions!$B$6)))*Assumptions!$B$39</f>
        <v/>
      </c>
      <c r="J14" s="10">
        <f>B14+SUM(C14:I14)</f>
        <v/>
      </c>
      <c r="K14" s="9">
        <f>J14*Assumptions!$B$3</f>
        <v/>
      </c>
      <c r="L14" s="10">
        <f>J14-K14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7" t="inlineStr">
        <is>
          <t>Year</t>
        </is>
      </c>
      <c r="B1" s="7" t="inlineStr">
        <is>
          <t>Net Poles</t>
        </is>
      </c>
      <c r="C1" s="7" t="inlineStr">
        <is>
          <t>Pole Revenue (MXN)</t>
        </is>
      </c>
      <c r="D1" s="7" t="inlineStr">
        <is>
          <t>Carbon Credits (MXN)</t>
        </is>
      </c>
      <c r="E1" s="7" t="inlineStr">
        <is>
          <t>Nursery Revenue (MXN)</t>
        </is>
      </c>
      <c r="F1" s="7" t="inlineStr">
        <is>
          <t>Total Revenue (MXN)</t>
        </is>
      </c>
      <c r="G1" s="7" t="inlineStr">
        <is>
          <t>Total Revenue (USD)</t>
        </is>
      </c>
    </row>
    <row r="2">
      <c r="A2" s="11" t="n">
        <v>2026</v>
      </c>
      <c r="B2" s="13">
        <f>Production!L2</f>
        <v/>
      </c>
      <c r="C2" s="9">
        <f>B2*Assumptions!$B$2</f>
        <v/>
      </c>
      <c r="D2" s="9" t="n">
        <v>0</v>
      </c>
      <c r="E2" s="9" t="n">
        <v>0</v>
      </c>
      <c r="F2" s="10">
        <f>SUM(C2:E2)</f>
        <v/>
      </c>
      <c r="G2" s="9">
        <f>F2/Assumptions!$B$8</f>
        <v/>
      </c>
    </row>
    <row r="3">
      <c r="A3" s="11" t="n">
        <v>2027</v>
      </c>
      <c r="B3" s="13">
        <f>Production!L3</f>
        <v/>
      </c>
      <c r="C3" s="9">
        <f>B3*Assumptions!$B$2</f>
        <v/>
      </c>
      <c r="D3" s="9" t="n">
        <v>0</v>
      </c>
      <c r="E3" s="9" t="n">
        <v>0</v>
      </c>
      <c r="F3" s="10">
        <f>SUM(C3:E3)</f>
        <v/>
      </c>
      <c r="G3" s="9">
        <f>F3/Assumptions!$B$8</f>
        <v/>
      </c>
    </row>
    <row r="4">
      <c r="A4" s="11" t="n">
        <v>2028</v>
      </c>
      <c r="B4" s="13">
        <f>Production!L4</f>
        <v/>
      </c>
      <c r="C4" s="9">
        <f>B4*Assumptions!$B$2</f>
        <v/>
      </c>
      <c r="D4" s="9">
        <f>Assumptions!C34*Assumptions!$B$7*Assumptions!$B$8</f>
        <v/>
      </c>
      <c r="E4" s="9" t="n">
        <v>0</v>
      </c>
      <c r="F4" s="10">
        <f>SUM(C4:E4)</f>
        <v/>
      </c>
      <c r="G4" s="9">
        <f>F4/Assumptions!$B$8</f>
        <v/>
      </c>
    </row>
    <row r="5">
      <c r="A5" s="11" t="n">
        <v>2029</v>
      </c>
      <c r="B5" s="13">
        <f>Production!L5</f>
        <v/>
      </c>
      <c r="C5" s="9">
        <f>B5*Assumptions!$B$2</f>
        <v/>
      </c>
      <c r="D5" s="9">
        <f>Assumptions!C35*Assumptions!$B$7*Assumptions!$B$8</f>
        <v/>
      </c>
      <c r="E5" s="9" t="n">
        <v>0</v>
      </c>
      <c r="F5" s="10">
        <f>SUM(C5:E5)</f>
        <v/>
      </c>
      <c r="G5" s="9">
        <f>F5/Assumptions!$B$8</f>
        <v/>
      </c>
    </row>
    <row r="6">
      <c r="A6" s="11" t="n">
        <v>2030</v>
      </c>
      <c r="B6" s="13">
        <f>Production!L6</f>
        <v/>
      </c>
      <c r="C6" s="9">
        <f>B6*Assumptions!$B$2</f>
        <v/>
      </c>
      <c r="D6" s="9">
        <f>Assumptions!C36*Assumptions!$B$7*Assumptions!$B$8</f>
        <v/>
      </c>
      <c r="E6" s="9">
        <f>5000*Assumptions!$B$17</f>
        <v/>
      </c>
      <c r="F6" s="10">
        <f>SUM(C6:E6)</f>
        <v/>
      </c>
      <c r="G6" s="9">
        <f>F6/Assumptions!$B$8</f>
        <v/>
      </c>
    </row>
    <row r="7">
      <c r="A7" s="11" t="n">
        <v>2031</v>
      </c>
      <c r="B7" s="13">
        <f>Production!L7</f>
        <v/>
      </c>
      <c r="C7" s="9">
        <f>B7*Assumptions!$B$2</f>
        <v/>
      </c>
      <c r="D7" s="9">
        <f>Assumptions!C37*Assumptions!$B$7*Assumptions!$B$8</f>
        <v/>
      </c>
      <c r="E7" s="9">
        <f>10000*Assumptions!$B$17</f>
        <v/>
      </c>
      <c r="F7" s="10">
        <f>SUM(C7:E7)</f>
        <v/>
      </c>
      <c r="G7" s="9">
        <f>F7/Assumptions!$B$8</f>
        <v/>
      </c>
    </row>
    <row r="8">
      <c r="A8" s="11" t="n">
        <v>2032</v>
      </c>
      <c r="B8" s="13">
        <f>Production!L8</f>
        <v/>
      </c>
      <c r="C8" s="9">
        <f>B8*Assumptions!$B$2</f>
        <v/>
      </c>
      <c r="D8" s="9">
        <f>Assumptions!C38*Assumptions!$B$7*Assumptions!$B$8</f>
        <v/>
      </c>
      <c r="E8" s="9">
        <f>15000*Assumptions!$B$17</f>
        <v/>
      </c>
      <c r="F8" s="10">
        <f>SUM(C8:E8)</f>
        <v/>
      </c>
      <c r="G8" s="9">
        <f>F8/Assumptions!$B$8</f>
        <v/>
      </c>
    </row>
    <row r="9">
      <c r="A9" s="11" t="n">
        <v>2033</v>
      </c>
      <c r="B9" s="13">
        <f>Production!L9</f>
        <v/>
      </c>
      <c r="C9" s="9">
        <f>B9*Assumptions!$B$2</f>
        <v/>
      </c>
      <c r="D9" s="9">
        <f>Assumptions!C39*Assumptions!$B$7*Assumptions!$B$8</f>
        <v/>
      </c>
      <c r="E9" s="9">
        <f>20000*Assumptions!$B$17</f>
        <v/>
      </c>
      <c r="F9" s="10">
        <f>SUM(C9:E9)</f>
        <v/>
      </c>
      <c r="G9" s="9">
        <f>F9/Assumptions!$B$8</f>
        <v/>
      </c>
    </row>
    <row r="10">
      <c r="A10" s="11" t="n">
        <v>2034</v>
      </c>
      <c r="B10" s="13">
        <f>Production!L10</f>
        <v/>
      </c>
      <c r="C10" s="9">
        <f>B10*Assumptions!$B$2</f>
        <v/>
      </c>
      <c r="D10" s="9">
        <f>Assumptions!C39*Assumptions!$B$7*Assumptions!$B$8</f>
        <v/>
      </c>
      <c r="E10" s="9">
        <f>25000*Assumptions!$B$17</f>
        <v/>
      </c>
      <c r="F10" s="10">
        <f>SUM(C10:E10)</f>
        <v/>
      </c>
      <c r="G10" s="9">
        <f>F10/Assumptions!$B$8</f>
        <v/>
      </c>
    </row>
    <row r="11">
      <c r="A11" s="11" t="n">
        <v>2035</v>
      </c>
      <c r="B11" s="13">
        <f>Production!L11</f>
        <v/>
      </c>
      <c r="C11" s="9">
        <f>B11*Assumptions!$B$2</f>
        <v/>
      </c>
      <c r="D11" s="9">
        <f>Assumptions!C39*Assumptions!$B$7*Assumptions!$B$8</f>
        <v/>
      </c>
      <c r="E11" s="9">
        <f>30000*Assumptions!$B$17</f>
        <v/>
      </c>
      <c r="F11" s="10">
        <f>SUM(C11:E11)</f>
        <v/>
      </c>
      <c r="G11" s="9">
        <f>F11/Assumptions!$B$8</f>
        <v/>
      </c>
    </row>
    <row r="12">
      <c r="A12" s="11" t="n">
        <v>2036</v>
      </c>
      <c r="B12" s="13">
        <f>Production!L12</f>
        <v/>
      </c>
      <c r="C12" s="9">
        <f>B12*Assumptions!$B$2</f>
        <v/>
      </c>
      <c r="D12" s="9">
        <f>Assumptions!C39*Assumptions!$B$7*Assumptions!$B$8</f>
        <v/>
      </c>
      <c r="E12" s="9">
        <f>35000*Assumptions!$B$17</f>
        <v/>
      </c>
      <c r="F12" s="10">
        <f>SUM(C12:E12)</f>
        <v/>
      </c>
      <c r="G12" s="9">
        <f>F12/Assumptions!$B$8</f>
        <v/>
      </c>
    </row>
    <row r="13">
      <c r="A13" s="11" t="n">
        <v>2037</v>
      </c>
      <c r="B13" s="13">
        <f>Production!L13</f>
        <v/>
      </c>
      <c r="C13" s="9">
        <f>B13*Assumptions!$B$2</f>
        <v/>
      </c>
      <c r="D13" s="9">
        <f>Assumptions!C39*Assumptions!$B$7*Assumptions!$B$8</f>
        <v/>
      </c>
      <c r="E13" s="9">
        <f>40000*Assumptions!$B$17</f>
        <v/>
      </c>
      <c r="F13" s="10">
        <f>SUM(C13:E13)</f>
        <v/>
      </c>
      <c r="G13" s="9">
        <f>F13/Assumptions!$B$8</f>
        <v/>
      </c>
    </row>
    <row r="14">
      <c r="A14" s="11" t="n">
        <v>2038</v>
      </c>
      <c r="B14" s="13">
        <f>Production!L14</f>
        <v/>
      </c>
      <c r="C14" s="9">
        <f>B14*Assumptions!$B$2</f>
        <v/>
      </c>
      <c r="D14" s="9">
        <f>Assumptions!C39*Assumptions!$B$7*Assumptions!$B$8</f>
        <v/>
      </c>
      <c r="E14" s="9">
        <f>45000*Assumptions!$B$17</f>
        <v/>
      </c>
      <c r="F14" s="10">
        <f>SUM(C14:E14)</f>
        <v/>
      </c>
      <c r="G14" s="9">
        <f>F14/Assumptions!$B$8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7" t="inlineStr">
        <is>
          <t>Year</t>
        </is>
      </c>
      <c r="B1" s="7" t="inlineStr">
        <is>
          <t>Planting Costs</t>
        </is>
      </c>
      <c r="C1" s="7" t="inlineStr">
        <is>
          <t>Fixed Ops (Workers)</t>
        </is>
      </c>
      <c r="D1" s="7" t="inlineStr">
        <is>
          <t>Mgmt Salaries</t>
        </is>
      </c>
      <c r="E1" s="7" t="inlineStr">
        <is>
          <t>Consumables</t>
        </is>
      </c>
      <c r="F1" s="7" t="inlineStr">
        <is>
          <t>SG&amp;A</t>
        </is>
      </c>
      <c r="G1" s="7" t="inlineStr">
        <is>
          <t>Nursery Labor</t>
        </is>
      </c>
      <c r="H1" s="7" t="inlineStr">
        <is>
          <t>Tractor Rental</t>
        </is>
      </c>
      <c r="I1" s="7" t="inlineStr">
        <is>
          <t>Logistics</t>
        </is>
      </c>
      <c r="J1" s="7" t="inlineStr">
        <is>
          <t>Consulting &amp; Tech</t>
        </is>
      </c>
      <c r="K1" s="7" t="inlineStr">
        <is>
          <t>Total Expenses</t>
        </is>
      </c>
    </row>
    <row r="2">
      <c r="A2" s="11" t="n">
        <v>2026</v>
      </c>
      <c r="B2" s="9">
        <f>Assumptions!B33*Assumptions!$B$19*Assumptions!$B$17</f>
        <v/>
      </c>
      <c r="C2" s="9">
        <f>(2*Assumptions!$B$14+0*Assumptions!$B$15)*Assumptions!$B$16*12</f>
        <v/>
      </c>
      <c r="D2" s="9">
        <f>4*Assumptions!$B$12*(1+Assumptions!$B$13)^0*12</f>
        <v/>
      </c>
      <c r="E2" s="9">
        <f>C2*0.2</f>
        <v/>
      </c>
      <c r="F2" s="3" t="n">
        <v>500000</v>
      </c>
      <c r="G2" s="9" t="n">
        <v>0</v>
      </c>
      <c r="H2" s="9">
        <f>(Assumptions!B33*0.5+Assumptions!C33*0.1)*8000</f>
        <v/>
      </c>
      <c r="I2" s="13">
        <f>Production!L2*5</f>
        <v/>
      </c>
      <c r="J2" s="12" t="n">
        <v>0</v>
      </c>
      <c r="K2" s="10">
        <f>SUM(B2:J2)</f>
        <v/>
      </c>
    </row>
    <row r="3">
      <c r="A3" s="11" t="n">
        <v>2027</v>
      </c>
      <c r="B3" s="9">
        <f>Assumptions!B34*Assumptions!$B$19*Assumptions!$B$17</f>
        <v/>
      </c>
      <c r="C3" s="9">
        <f>(4*Assumptions!$B$14+1*Assumptions!$B$15)*Assumptions!$B$16*12</f>
        <v/>
      </c>
      <c r="D3" s="9">
        <f>4*Assumptions!$B$12*(1+Assumptions!$B$13)^1*12</f>
        <v/>
      </c>
      <c r="E3" s="9">
        <f>C3*0.2</f>
        <v/>
      </c>
      <c r="F3" s="9">
        <f>F2*(1+Assumptions!$B$21)</f>
        <v/>
      </c>
      <c r="G3" s="9" t="n">
        <v>156000</v>
      </c>
      <c r="H3" s="9">
        <f>(Assumptions!B34*0.5+Assumptions!C34*0.1)*8000</f>
        <v/>
      </c>
      <c r="I3" s="13">
        <f>Production!L3*5</f>
        <v/>
      </c>
      <c r="J3" s="12" t="n">
        <v>0</v>
      </c>
      <c r="K3" s="10">
        <f>SUM(B3:J3)</f>
        <v/>
      </c>
    </row>
    <row r="4">
      <c r="A4" s="11" t="n">
        <v>2028</v>
      </c>
      <c r="B4" s="9">
        <f>Assumptions!B35*Assumptions!$B$19*Assumptions!$B$17</f>
        <v/>
      </c>
      <c r="C4" s="9">
        <f>(6*Assumptions!$B$14+2*Assumptions!$B$15)*Assumptions!$B$16*12</f>
        <v/>
      </c>
      <c r="D4" s="9">
        <f>4*Assumptions!$B$12*(1+Assumptions!$B$13)^2*12</f>
        <v/>
      </c>
      <c r="E4" s="9">
        <f>C4*0.2</f>
        <v/>
      </c>
      <c r="F4" s="9">
        <f>F3*(1+Assumptions!$B$21)</f>
        <v/>
      </c>
      <c r="G4" s="9" t="n">
        <v>156000</v>
      </c>
      <c r="H4" s="9">
        <f>(Assumptions!B35*0.5+Assumptions!C35*0.1)*8000</f>
        <v/>
      </c>
      <c r="I4" s="13">
        <f>Production!L4*5</f>
        <v/>
      </c>
      <c r="J4" s="12" t="n">
        <v>180000</v>
      </c>
      <c r="K4" s="10">
        <f>SUM(B4:J4)</f>
        <v/>
      </c>
    </row>
    <row r="5">
      <c r="A5" s="11" t="n">
        <v>2029</v>
      </c>
      <c r="B5" s="9">
        <f>Assumptions!B36*Assumptions!$B$19*Assumptions!$B$18</f>
        <v/>
      </c>
      <c r="C5" s="9">
        <f>(8*Assumptions!$B$14+3*Assumptions!$B$15)*Assumptions!$B$16*12</f>
        <v/>
      </c>
      <c r="D5" s="9">
        <f>4*Assumptions!$B$12*(1+Assumptions!$B$13)^3*12</f>
        <v/>
      </c>
      <c r="E5" s="9">
        <f>C5*0.2</f>
        <v/>
      </c>
      <c r="F5" s="9">
        <f>F4*(1+Assumptions!$B$21)</f>
        <v/>
      </c>
      <c r="G5" s="9" t="n">
        <v>156000</v>
      </c>
      <c r="H5" s="9">
        <f>(Assumptions!B36*0.5+Assumptions!C36*0.1)*8000</f>
        <v/>
      </c>
      <c r="I5" s="13">
        <f>Production!L5*5</f>
        <v/>
      </c>
      <c r="J5" s="12" t="n">
        <v>180000</v>
      </c>
      <c r="K5" s="10">
        <f>SUM(B5:J5)</f>
        <v/>
      </c>
    </row>
    <row r="6">
      <c r="A6" s="11" t="n">
        <v>2030</v>
      </c>
      <c r="B6" s="9">
        <f>Assumptions!B37*Assumptions!$B$19*Assumptions!$B$18</f>
        <v/>
      </c>
      <c r="C6" s="9">
        <f>(10*Assumptions!$B$14+3*Assumptions!$B$15)*Assumptions!$B$16*12</f>
        <v/>
      </c>
      <c r="D6" s="9">
        <f>4*Assumptions!$B$12*(1+Assumptions!$B$13)^4*12</f>
        <v/>
      </c>
      <c r="E6" s="9">
        <f>C6*0.2</f>
        <v/>
      </c>
      <c r="F6" s="9">
        <f>F5*(1+Assumptions!$B$21)</f>
        <v/>
      </c>
      <c r="G6" s="9" t="n">
        <v>156000</v>
      </c>
      <c r="H6" s="9">
        <f>(Assumptions!B37*0.5+Assumptions!C37*0.1)*8000</f>
        <v/>
      </c>
      <c r="I6" s="13">
        <f>Production!L6*5</f>
        <v/>
      </c>
      <c r="J6" s="12" t="n">
        <v>180000</v>
      </c>
      <c r="K6" s="10">
        <f>SUM(B6:J6)</f>
        <v/>
      </c>
    </row>
    <row r="7">
      <c r="A7" s="11" t="n">
        <v>2031</v>
      </c>
      <c r="B7" s="9">
        <f>Assumptions!B38*Assumptions!$B$19*Assumptions!$B$18</f>
        <v/>
      </c>
      <c r="C7" s="9">
        <f>(12*Assumptions!$B$14+4*Assumptions!$B$15)*Assumptions!$B$16*12</f>
        <v/>
      </c>
      <c r="D7" s="9">
        <f>4*Assumptions!$B$12*(1+Assumptions!$B$13)^5*12</f>
        <v/>
      </c>
      <c r="E7" s="9">
        <f>C7*0.2</f>
        <v/>
      </c>
      <c r="F7" s="9">
        <f>F6*(1+Assumptions!$B$21)</f>
        <v/>
      </c>
      <c r="G7" s="9" t="n">
        <v>156000</v>
      </c>
      <c r="H7" s="9">
        <f>(Assumptions!B38*0.5+Assumptions!C38*0.1)*8000</f>
        <v/>
      </c>
      <c r="I7" s="13">
        <f>Production!L7*5</f>
        <v/>
      </c>
      <c r="J7" s="12" t="n">
        <v>240000</v>
      </c>
      <c r="K7" s="10">
        <f>SUM(B7:J7)</f>
        <v/>
      </c>
    </row>
    <row r="8">
      <c r="A8" s="11" t="n">
        <v>2032</v>
      </c>
      <c r="B8" s="9">
        <f>Assumptions!B39*Assumptions!$B$19*Assumptions!$B$18</f>
        <v/>
      </c>
      <c r="C8" s="9">
        <f>(14*Assumptions!$B$14+4*Assumptions!$B$15)*Assumptions!$B$16*12</f>
        <v/>
      </c>
      <c r="D8" s="9">
        <f>4*Assumptions!$B$12*(1+Assumptions!$B$13)^6*12</f>
        <v/>
      </c>
      <c r="E8" s="9">
        <f>C8*0.2</f>
        <v/>
      </c>
      <c r="F8" s="9">
        <f>F7*(1+Assumptions!$B$21)</f>
        <v/>
      </c>
      <c r="G8" s="9" t="n">
        <v>156000</v>
      </c>
      <c r="H8" s="9">
        <f>(Assumptions!B39*0.5+Assumptions!C39*0.1)*8000</f>
        <v/>
      </c>
      <c r="I8" s="13">
        <f>Production!L8*5</f>
        <v/>
      </c>
      <c r="J8" s="12" t="n">
        <v>240000</v>
      </c>
      <c r="K8" s="10">
        <f>SUM(B8:J8)</f>
        <v/>
      </c>
    </row>
    <row r="9">
      <c r="A9" s="11" t="n">
        <v>2033</v>
      </c>
      <c r="B9" s="9" t="n">
        <v>0</v>
      </c>
      <c r="C9" s="9">
        <f>(14*Assumptions!$B$14+4*Assumptions!$B$15)*Assumptions!$B$16*12</f>
        <v/>
      </c>
      <c r="D9" s="9">
        <f>4*Assumptions!$B$12*(1+Assumptions!$B$13)^7*12</f>
        <v/>
      </c>
      <c r="E9" s="9">
        <f>C9*0.2</f>
        <v/>
      </c>
      <c r="F9" s="9">
        <f>F8*(1+Assumptions!$B$21)</f>
        <v/>
      </c>
      <c r="G9" s="9" t="n">
        <v>156000</v>
      </c>
      <c r="H9" s="9">
        <f>Assumptions!C39*0.1*8000</f>
        <v/>
      </c>
      <c r="I9" s="13">
        <f>Production!L9*5</f>
        <v/>
      </c>
      <c r="J9" s="12" t="n">
        <v>240000</v>
      </c>
      <c r="K9" s="10">
        <f>SUM(B9:J9)</f>
        <v/>
      </c>
    </row>
    <row r="10">
      <c r="A10" s="11" t="n">
        <v>2034</v>
      </c>
      <c r="B10" s="9" t="n">
        <v>0</v>
      </c>
      <c r="C10" s="9">
        <f>(14*Assumptions!$B$14+4*Assumptions!$B$15)*Assumptions!$B$16*12</f>
        <v/>
      </c>
      <c r="D10" s="9">
        <f>4*Assumptions!$B$12*(1+Assumptions!$B$13)^8*12</f>
        <v/>
      </c>
      <c r="E10" s="9">
        <f>C10*0.2</f>
        <v/>
      </c>
      <c r="F10" s="9">
        <f>F9*(1+Assumptions!$B$21)</f>
        <v/>
      </c>
      <c r="G10" s="9" t="n">
        <v>156000</v>
      </c>
      <c r="H10" s="9">
        <f>Assumptions!C39*0.1*8000</f>
        <v/>
      </c>
      <c r="I10" s="13">
        <f>Production!L10*5</f>
        <v/>
      </c>
      <c r="J10" s="12" t="n">
        <v>240000</v>
      </c>
      <c r="K10" s="10">
        <f>SUM(B10:J10)</f>
        <v/>
      </c>
    </row>
    <row r="11">
      <c r="A11" s="11" t="n">
        <v>2035</v>
      </c>
      <c r="B11" s="9" t="n">
        <v>0</v>
      </c>
      <c r="C11" s="9">
        <f>(14*Assumptions!$B$14+4*Assumptions!$B$15)*Assumptions!$B$16*12</f>
        <v/>
      </c>
      <c r="D11" s="9">
        <f>4*Assumptions!$B$12*(1+Assumptions!$B$13)^9*12</f>
        <v/>
      </c>
      <c r="E11" s="9">
        <f>C11*0.2</f>
        <v/>
      </c>
      <c r="F11" s="9">
        <f>F10*(1+Assumptions!$B$21)</f>
        <v/>
      </c>
      <c r="G11" s="9" t="n">
        <v>156000</v>
      </c>
      <c r="H11" s="9">
        <f>Assumptions!C39*0.1*8000</f>
        <v/>
      </c>
      <c r="I11" s="13">
        <f>Production!L11*5</f>
        <v/>
      </c>
      <c r="J11" s="12" t="n">
        <v>240000</v>
      </c>
      <c r="K11" s="10">
        <f>SUM(B11:J11)</f>
        <v/>
      </c>
    </row>
    <row r="12">
      <c r="A12" s="11" t="n">
        <v>2036</v>
      </c>
      <c r="B12" s="9" t="n">
        <v>0</v>
      </c>
      <c r="C12" s="9">
        <f>(14*Assumptions!$B$14+4*Assumptions!$B$15)*Assumptions!$B$16*12</f>
        <v/>
      </c>
      <c r="D12" s="9">
        <f>4*Assumptions!$B$12*(1+Assumptions!$B$13)^10*12</f>
        <v/>
      </c>
      <c r="E12" s="9">
        <f>C12*0.2</f>
        <v/>
      </c>
      <c r="F12" s="9">
        <f>F11*(1+Assumptions!$B$21)</f>
        <v/>
      </c>
      <c r="G12" s="9" t="n">
        <v>156000</v>
      </c>
      <c r="H12" s="9">
        <f>Assumptions!C39*0.1*8000</f>
        <v/>
      </c>
      <c r="I12" s="13">
        <f>Production!L12*5</f>
        <v/>
      </c>
      <c r="J12" s="12" t="n">
        <v>240000</v>
      </c>
      <c r="K12" s="10">
        <f>SUM(B12:J12)</f>
        <v/>
      </c>
    </row>
    <row r="13">
      <c r="A13" s="11" t="n">
        <v>2037</v>
      </c>
      <c r="B13" s="9" t="n">
        <v>0</v>
      </c>
      <c r="C13" s="9">
        <f>(14*Assumptions!$B$14+4*Assumptions!$B$15)*Assumptions!$B$16*12</f>
        <v/>
      </c>
      <c r="D13" s="9">
        <f>4*Assumptions!$B$12*(1+Assumptions!$B$13)^11*12</f>
        <v/>
      </c>
      <c r="E13" s="9">
        <f>C13*0.2</f>
        <v/>
      </c>
      <c r="F13" s="9">
        <f>F12*(1+Assumptions!$B$21)</f>
        <v/>
      </c>
      <c r="G13" s="9" t="n">
        <v>156000</v>
      </c>
      <c r="H13" s="9">
        <f>Assumptions!C39*0.1*8000</f>
        <v/>
      </c>
      <c r="I13" s="13">
        <f>Production!L13*5</f>
        <v/>
      </c>
      <c r="J13" s="12" t="n">
        <v>240000</v>
      </c>
      <c r="K13" s="10">
        <f>SUM(B13:J13)</f>
        <v/>
      </c>
    </row>
    <row r="14">
      <c r="A14" s="11" t="n">
        <v>2038</v>
      </c>
      <c r="B14" s="9" t="n">
        <v>0</v>
      </c>
      <c r="C14" s="9">
        <f>(14*Assumptions!$B$14+4*Assumptions!$B$15)*Assumptions!$B$16*12</f>
        <v/>
      </c>
      <c r="D14" s="9">
        <f>4*Assumptions!$B$12*(1+Assumptions!$B$13)^12*12</f>
        <v/>
      </c>
      <c r="E14" s="9">
        <f>C14*0.2</f>
        <v/>
      </c>
      <c r="F14" s="9">
        <f>F13*(1+Assumptions!$B$21)</f>
        <v/>
      </c>
      <c r="G14" s="9" t="n">
        <v>156000</v>
      </c>
      <c r="H14" s="9">
        <f>Assumptions!C39*0.1*8000</f>
        <v/>
      </c>
      <c r="I14" s="13">
        <f>Production!L14*5</f>
        <v/>
      </c>
      <c r="J14" s="12" t="n">
        <v>240000</v>
      </c>
      <c r="K14" s="10">
        <f>SUM(B14:J14)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50" customWidth="1" min="3" max="3"/>
    <col width="18" customWidth="1" min="4" max="4"/>
    <col width="18" customWidth="1" min="5" max="5"/>
    <col width="16" customWidth="1" min="6" max="6"/>
    <col width="16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4" t="inlineStr">
        <is>
          <t>Year</t>
        </is>
      </c>
      <c r="B1" s="14" t="inlineStr">
        <is>
          <t>Total Capex (MXN)</t>
        </is>
      </c>
      <c r="C1" s="14" t="inlineStr">
        <is>
          <t>Items</t>
        </is>
      </c>
      <c r="D1" s="14" t="inlineStr">
        <is>
          <t>Small Pools Built</t>
        </is>
      </c>
      <c r="E1" s="14" t="inlineStr">
        <is>
          <t>Large Pools Added</t>
        </is>
      </c>
      <c r="F1" s="14" t="inlineStr">
        <is>
          <t>Cum Large Pools</t>
        </is>
      </c>
      <c r="G1" s="14" t="inlineStr">
        <is>
          <t>Pool Capex (MXN)</t>
        </is>
      </c>
    </row>
    <row r="2">
      <c r="A2" s="11" t="n">
        <v>2026</v>
      </c>
      <c r="B2" s="13">
        <f>SUMIF(Assumptions!C44:C55,A2,Assumptions!B44:B55)+G2</f>
        <v/>
      </c>
      <c r="D2" s="9">
        <f>Assumptions!B61</f>
        <v/>
      </c>
      <c r="E2" s="9" t="n">
        <v>0</v>
      </c>
      <c r="F2" s="9" t="n">
        <v>0</v>
      </c>
      <c r="G2" s="9">
        <f>D2*Assumptions!$B$62+E2*Assumptions!$B$65</f>
        <v/>
      </c>
    </row>
    <row r="3">
      <c r="A3" s="11" t="n">
        <v>2027</v>
      </c>
      <c r="B3" s="13">
        <f>SUMIF(Assumptions!C44:C55,A3,Assumptions!B44:B55)+G3</f>
        <v/>
      </c>
      <c r="D3" s="9" t="n">
        <v>0</v>
      </c>
      <c r="E3" s="9">
        <f>MAX(0,CEILING(MAX(0,Production!L3-Assumptions!$B$67)/Assumptions!$B$68,1)-F2)</f>
        <v/>
      </c>
      <c r="F3" s="9">
        <f>F2+E3</f>
        <v/>
      </c>
      <c r="G3" s="9">
        <f>D3*Assumptions!$B$62+E3*Assumptions!$B$65</f>
        <v/>
      </c>
    </row>
    <row r="4">
      <c r="A4" s="11" t="n">
        <v>2028</v>
      </c>
      <c r="B4" s="13">
        <f>SUMIF(Assumptions!C44:C55,A4,Assumptions!B44:B55)+G4</f>
        <v/>
      </c>
      <c r="D4" s="9" t="n">
        <v>0</v>
      </c>
      <c r="E4" s="9">
        <f>MAX(0,CEILING(MAX(0,Production!L4-Assumptions!$B$67)/Assumptions!$B$68,1)-F3)</f>
        <v/>
      </c>
      <c r="F4" s="9">
        <f>F3+E4</f>
        <v/>
      </c>
      <c r="G4" s="9">
        <f>D4*Assumptions!$B$62+E4*Assumptions!$B$65</f>
        <v/>
      </c>
    </row>
    <row r="5">
      <c r="A5" s="11" t="n">
        <v>2029</v>
      </c>
      <c r="B5" s="13">
        <f>SUMIF(Assumptions!C44:C55,A5,Assumptions!B44:B55)+G5</f>
        <v/>
      </c>
      <c r="D5" s="9" t="n">
        <v>0</v>
      </c>
      <c r="E5" s="9">
        <f>MAX(0,CEILING(MAX(0,Production!L5-Assumptions!$B$67)/Assumptions!$B$68,1)-F4)</f>
        <v/>
      </c>
      <c r="F5" s="9">
        <f>F4+E5</f>
        <v/>
      </c>
      <c r="G5" s="9">
        <f>D5*Assumptions!$B$62+E5*Assumptions!$B$65</f>
        <v/>
      </c>
    </row>
    <row r="6">
      <c r="A6" s="11" t="n">
        <v>2030</v>
      </c>
      <c r="B6" s="13">
        <f>SUMIF(Assumptions!C44:C55,A6,Assumptions!B44:B55)+G6</f>
        <v/>
      </c>
      <c r="D6" s="9" t="n">
        <v>0</v>
      </c>
      <c r="E6" s="9">
        <f>MAX(0,CEILING(MAX(0,Production!L6-Assumptions!$B$67)/Assumptions!$B$68,1)-F5)</f>
        <v/>
      </c>
      <c r="F6" s="9">
        <f>F5+E6</f>
        <v/>
      </c>
      <c r="G6" s="9">
        <f>D6*Assumptions!$B$62+E6*Assumptions!$B$65</f>
        <v/>
      </c>
    </row>
    <row r="7">
      <c r="A7" s="11" t="n">
        <v>2031</v>
      </c>
      <c r="B7" s="13">
        <f>SUMIF(Assumptions!C44:C55,A7,Assumptions!B44:B55)+G7</f>
        <v/>
      </c>
      <c r="D7" s="9" t="n">
        <v>0</v>
      </c>
      <c r="E7" s="9">
        <f>MAX(0,CEILING(MAX(0,Production!L7-Assumptions!$B$67)/Assumptions!$B$68,1)-F6)</f>
        <v/>
      </c>
      <c r="F7" s="9">
        <f>F6+E7</f>
        <v/>
      </c>
      <c r="G7" s="9">
        <f>D7*Assumptions!$B$62+E7*Assumptions!$B$65</f>
        <v/>
      </c>
    </row>
    <row r="8">
      <c r="A8" s="11" t="n">
        <v>2032</v>
      </c>
      <c r="B8" s="13">
        <f>SUMIF(Assumptions!C44:C55,A8,Assumptions!B44:B55)+G8</f>
        <v/>
      </c>
      <c r="D8" s="9" t="n">
        <v>0</v>
      </c>
      <c r="E8" s="9">
        <f>MAX(0,CEILING(MAX(0,Production!L8-Assumptions!$B$67)/Assumptions!$B$68,1)-F7)</f>
        <v/>
      </c>
      <c r="F8" s="9">
        <f>F7+E8</f>
        <v/>
      </c>
      <c r="G8" s="9">
        <f>D8*Assumptions!$B$62+E8*Assumptions!$B$65</f>
        <v/>
      </c>
    </row>
    <row r="9">
      <c r="A9" s="11" t="n">
        <v>2033</v>
      </c>
      <c r="B9" s="13">
        <f>SUMIF(Assumptions!C44:C55,A9,Assumptions!B44:B55)+G9</f>
        <v/>
      </c>
      <c r="D9" s="9" t="n">
        <v>0</v>
      </c>
      <c r="E9" s="9">
        <f>MAX(0,CEILING(MAX(0,Production!L9-Assumptions!$B$67)/Assumptions!$B$68,1)-F8)</f>
        <v/>
      </c>
      <c r="F9" s="9">
        <f>F8+E9</f>
        <v/>
      </c>
      <c r="G9" s="9">
        <f>D9*Assumptions!$B$62+E9*Assumptions!$B$65</f>
        <v/>
      </c>
    </row>
    <row r="10">
      <c r="A10" s="11" t="n">
        <v>2034</v>
      </c>
      <c r="B10" s="13">
        <f>SUMIF(Assumptions!C44:C55,A10,Assumptions!B44:B55)+G10</f>
        <v/>
      </c>
      <c r="D10" s="9" t="n">
        <v>0</v>
      </c>
      <c r="E10" s="9">
        <f>MAX(0,CEILING(MAX(0,Production!L10-Assumptions!$B$67)/Assumptions!$B$68,1)-F9)</f>
        <v/>
      </c>
      <c r="F10" s="9">
        <f>F9+E10</f>
        <v/>
      </c>
      <c r="G10" s="9">
        <f>D10*Assumptions!$B$62+E10*Assumptions!$B$65</f>
        <v/>
      </c>
    </row>
    <row r="11">
      <c r="A11" s="11" t="n">
        <v>2035</v>
      </c>
      <c r="B11" s="13">
        <f>SUMIF(Assumptions!C44:C55,A11,Assumptions!B44:B55)+G11</f>
        <v/>
      </c>
      <c r="D11" s="9" t="n">
        <v>0</v>
      </c>
      <c r="E11" s="9">
        <f>MAX(0,CEILING(MAX(0,Production!L11-Assumptions!$B$67)/Assumptions!$B$68,1)-F10)</f>
        <v/>
      </c>
      <c r="F11" s="9">
        <f>F10+E11</f>
        <v/>
      </c>
      <c r="G11" s="9">
        <f>D11*Assumptions!$B$62+E11*Assumptions!$B$65</f>
        <v/>
      </c>
    </row>
    <row r="12">
      <c r="A12" s="11" t="n">
        <v>2036</v>
      </c>
      <c r="B12" s="13">
        <f>SUMIF(Assumptions!C44:C55,A12,Assumptions!B44:B55)+G12</f>
        <v/>
      </c>
      <c r="D12" s="9" t="n">
        <v>0</v>
      </c>
      <c r="E12" s="9">
        <f>MAX(0,CEILING(MAX(0,Production!L12-Assumptions!$B$67)/Assumptions!$B$68,1)-F11)</f>
        <v/>
      </c>
      <c r="F12" s="9">
        <f>F11+E12</f>
        <v/>
      </c>
      <c r="G12" s="9">
        <f>D12*Assumptions!$B$62+E12*Assumptions!$B$65</f>
        <v/>
      </c>
    </row>
    <row r="13">
      <c r="A13" s="11" t="n">
        <v>2037</v>
      </c>
      <c r="B13" s="13">
        <f>SUMIF(Assumptions!C44:C55,A13,Assumptions!B44:B55)+G13</f>
        <v/>
      </c>
      <c r="D13" s="9" t="n">
        <v>0</v>
      </c>
      <c r="E13" s="9">
        <f>MAX(0,CEILING(MAX(0,Production!L13-Assumptions!$B$67)/Assumptions!$B$68,1)-F12)</f>
        <v/>
      </c>
      <c r="F13" s="9">
        <f>F12+E13</f>
        <v/>
      </c>
      <c r="G13" s="9">
        <f>D13*Assumptions!$B$62+E13*Assumptions!$B$65</f>
        <v/>
      </c>
    </row>
    <row r="14">
      <c r="A14" s="11" t="n">
        <v>2038</v>
      </c>
      <c r="B14" s="13">
        <f>SUMIF(Assumptions!C44:C55,A14,Assumptions!B44:B55)+G14</f>
        <v/>
      </c>
      <c r="D14" s="9" t="n">
        <v>0</v>
      </c>
      <c r="E14" s="9">
        <f>MAX(0,CEILING(MAX(0,Production!L14-Assumptions!$B$67)/Assumptions!$B$68,1)-F13)</f>
        <v/>
      </c>
      <c r="F14" s="9">
        <f>F13+E14</f>
        <v/>
      </c>
      <c r="G14" s="9">
        <f>D14*Assumptions!$B$62+E14*Assumptions!$B$65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7" t="inlineStr">
        <is>
          <t>Year</t>
        </is>
      </c>
      <c r="B1" s="7" t="inlineStr">
        <is>
          <t>Revenue</t>
        </is>
      </c>
      <c r="C1" s="7" t="inlineStr">
        <is>
          <t>OpEx</t>
        </is>
      </c>
      <c r="D1" s="7" t="inlineStr">
        <is>
          <t>Capex</t>
        </is>
      </c>
      <c r="E1" s="7" t="inlineStr">
        <is>
          <t>Funding</t>
        </is>
      </c>
      <c r="F1" s="7" t="inlineStr">
        <is>
          <t>Net Cash Flow</t>
        </is>
      </c>
      <c r="G1" s="7" t="inlineStr">
        <is>
          <t>Cumulative Cash</t>
        </is>
      </c>
      <c r="H1" s="7" t="inlineStr">
        <is>
          <t>Status</t>
        </is>
      </c>
    </row>
    <row r="2">
      <c r="A2" s="11" t="n">
        <v>2026</v>
      </c>
      <c r="B2" s="13">
        <f>Revenue!F2</f>
        <v/>
      </c>
      <c r="C2" s="13">
        <f>Expenses!K2</f>
        <v/>
      </c>
      <c r="D2" s="13">
        <f>Capex!B2</f>
        <v/>
      </c>
      <c r="E2" s="13">
        <f>IF(A2=2026,Assumptions!$B$9,0)+IF(A2=Assumptions!$B$11,Assumptions!$B$10,0)</f>
        <v/>
      </c>
      <c r="F2" s="15">
        <f>B2-C2-D2+E2</f>
        <v/>
      </c>
      <c r="G2" s="15">
        <f>F2</f>
        <v/>
      </c>
      <c r="H2" s="16">
        <f>IF(G2&lt;0,"NEGATIVE","OK")</f>
        <v/>
      </c>
    </row>
    <row r="3">
      <c r="A3" s="11" t="n">
        <v>2027</v>
      </c>
      <c r="B3" s="13">
        <f>Revenue!F3</f>
        <v/>
      </c>
      <c r="C3" s="13">
        <f>Expenses!K3</f>
        <v/>
      </c>
      <c r="D3" s="13">
        <f>Capex!B3</f>
        <v/>
      </c>
      <c r="E3" s="13">
        <f>IF(A3=2026,Assumptions!$B$9,0)+IF(A3=Assumptions!$B$11,Assumptions!$B$10,0)</f>
        <v/>
      </c>
      <c r="F3" s="15">
        <f>B3-C3-D3+E3</f>
        <v/>
      </c>
      <c r="G3" s="15">
        <f>G2+F3</f>
        <v/>
      </c>
      <c r="H3" s="16">
        <f>IF(G3&lt;0,"NEGATIVE","OK")</f>
        <v/>
      </c>
    </row>
    <row r="4">
      <c r="A4" s="11" t="n">
        <v>2028</v>
      </c>
      <c r="B4" s="13">
        <f>Revenue!F4</f>
        <v/>
      </c>
      <c r="C4" s="13">
        <f>Expenses!K4</f>
        <v/>
      </c>
      <c r="D4" s="13">
        <f>Capex!B4</f>
        <v/>
      </c>
      <c r="E4" s="13">
        <f>IF(A4=2026,Assumptions!$B$9,0)+IF(A4=Assumptions!$B$11,Assumptions!$B$10,0)</f>
        <v/>
      </c>
      <c r="F4" s="15">
        <f>B4-C4-D4+E4</f>
        <v/>
      </c>
      <c r="G4" s="15">
        <f>G3+F4</f>
        <v/>
      </c>
      <c r="H4" s="16">
        <f>IF(G4&lt;0,"NEGATIVE","OK")</f>
        <v/>
      </c>
    </row>
    <row r="5">
      <c r="A5" s="11" t="n">
        <v>2029</v>
      </c>
      <c r="B5" s="13">
        <f>Revenue!F5</f>
        <v/>
      </c>
      <c r="C5" s="13">
        <f>Expenses!K5</f>
        <v/>
      </c>
      <c r="D5" s="13">
        <f>Capex!B5</f>
        <v/>
      </c>
      <c r="E5" s="13">
        <f>IF(A5=2026,Assumptions!$B$9,0)+IF(A5=Assumptions!$B$11,Assumptions!$B$10,0)</f>
        <v/>
      </c>
      <c r="F5" s="15">
        <f>B5-C5-D5+E5</f>
        <v/>
      </c>
      <c r="G5" s="15">
        <f>G4+F5</f>
        <v/>
      </c>
      <c r="H5" s="16">
        <f>IF(G5&lt;0,"NEGATIVE","OK")</f>
        <v/>
      </c>
    </row>
    <row r="6">
      <c r="A6" s="11" t="n">
        <v>2030</v>
      </c>
      <c r="B6" s="13">
        <f>Revenue!F6</f>
        <v/>
      </c>
      <c r="C6" s="13">
        <f>Expenses!K6</f>
        <v/>
      </c>
      <c r="D6" s="13">
        <f>Capex!B6</f>
        <v/>
      </c>
      <c r="E6" s="13">
        <f>IF(A6=2026,Assumptions!$B$9,0)+IF(A6=Assumptions!$B$11,Assumptions!$B$10,0)</f>
        <v/>
      </c>
      <c r="F6" s="15">
        <f>B6-C6-D6+E6</f>
        <v/>
      </c>
      <c r="G6" s="15">
        <f>G5+F6</f>
        <v/>
      </c>
      <c r="H6" s="16">
        <f>IF(G6&lt;0,"NEGATIVE","OK")</f>
        <v/>
      </c>
    </row>
    <row r="7">
      <c r="A7" s="11" t="n">
        <v>2031</v>
      </c>
      <c r="B7" s="13">
        <f>Revenue!F7</f>
        <v/>
      </c>
      <c r="C7" s="13">
        <f>Expenses!K7</f>
        <v/>
      </c>
      <c r="D7" s="13">
        <f>Capex!B7</f>
        <v/>
      </c>
      <c r="E7" s="13">
        <f>IF(A7=2026,Assumptions!$B$9,0)+IF(A7=Assumptions!$B$11,Assumptions!$B$10,0)</f>
        <v/>
      </c>
      <c r="F7" s="15">
        <f>B7-C7-D7+E7</f>
        <v/>
      </c>
      <c r="G7" s="15">
        <f>G6+F7</f>
        <v/>
      </c>
      <c r="H7" s="16">
        <f>IF(G7&lt;0,"NEGATIVE","OK")</f>
        <v/>
      </c>
    </row>
    <row r="8">
      <c r="A8" s="11" t="n">
        <v>2032</v>
      </c>
      <c r="B8" s="13">
        <f>Revenue!F8</f>
        <v/>
      </c>
      <c r="C8" s="13">
        <f>Expenses!K8</f>
        <v/>
      </c>
      <c r="D8" s="13">
        <f>Capex!B8</f>
        <v/>
      </c>
      <c r="E8" s="13">
        <f>IF(A8=2026,Assumptions!$B$9,0)+IF(A8=Assumptions!$B$11,Assumptions!$B$10,0)</f>
        <v/>
      </c>
      <c r="F8" s="15">
        <f>B8-C8-D8+E8</f>
        <v/>
      </c>
      <c r="G8" s="15">
        <f>G7+F8</f>
        <v/>
      </c>
      <c r="H8" s="16">
        <f>IF(G8&lt;0,"NEGATIVE","OK")</f>
        <v/>
      </c>
    </row>
    <row r="9">
      <c r="A9" s="11" t="n">
        <v>2033</v>
      </c>
      <c r="B9" s="13">
        <f>Revenue!F9</f>
        <v/>
      </c>
      <c r="C9" s="13">
        <f>Expenses!K9</f>
        <v/>
      </c>
      <c r="D9" s="13">
        <f>Capex!B9</f>
        <v/>
      </c>
      <c r="E9" s="13">
        <f>IF(A9=2026,Assumptions!$B$9,0)+IF(A9=Assumptions!$B$11,Assumptions!$B$10,0)</f>
        <v/>
      </c>
      <c r="F9" s="15">
        <f>B9-C9-D9+E9</f>
        <v/>
      </c>
      <c r="G9" s="15">
        <f>G8+F9</f>
        <v/>
      </c>
      <c r="H9" s="16">
        <f>IF(G9&lt;0,"NEGATIVE","OK")</f>
        <v/>
      </c>
    </row>
    <row r="10">
      <c r="A10" s="11" t="n">
        <v>2034</v>
      </c>
      <c r="B10" s="13">
        <f>Revenue!F10</f>
        <v/>
      </c>
      <c r="C10" s="13">
        <f>Expenses!K10</f>
        <v/>
      </c>
      <c r="D10" s="13">
        <f>Capex!B10</f>
        <v/>
      </c>
      <c r="E10" s="13">
        <f>IF(A10=2026,Assumptions!$B$9,0)+IF(A10=Assumptions!$B$11,Assumptions!$B$10,0)</f>
        <v/>
      </c>
      <c r="F10" s="15">
        <f>B10-C10-D10+E10</f>
        <v/>
      </c>
      <c r="G10" s="15">
        <f>G9+F10</f>
        <v/>
      </c>
      <c r="H10" s="16">
        <f>IF(G10&lt;0,"NEGATIVE","OK")</f>
        <v/>
      </c>
    </row>
    <row r="11">
      <c r="A11" s="11" t="n">
        <v>2035</v>
      </c>
      <c r="B11" s="13">
        <f>Revenue!F11</f>
        <v/>
      </c>
      <c r="C11" s="13">
        <f>Expenses!K11</f>
        <v/>
      </c>
      <c r="D11" s="13">
        <f>Capex!B11</f>
        <v/>
      </c>
      <c r="E11" s="13">
        <f>IF(A11=2026,Assumptions!$B$9,0)+IF(A11=Assumptions!$B$11,Assumptions!$B$10,0)</f>
        <v/>
      </c>
      <c r="F11" s="15">
        <f>B11-C11-D11+E11</f>
        <v/>
      </c>
      <c r="G11" s="15">
        <f>G10+F11</f>
        <v/>
      </c>
      <c r="H11" s="16">
        <f>IF(G11&lt;0,"NEGATIVE","OK")</f>
        <v/>
      </c>
    </row>
    <row r="12">
      <c r="A12" s="11" t="n">
        <v>2036</v>
      </c>
      <c r="B12" s="13">
        <f>Revenue!F12</f>
        <v/>
      </c>
      <c r="C12" s="13">
        <f>Expenses!K12</f>
        <v/>
      </c>
      <c r="D12" s="13">
        <f>Capex!B12</f>
        <v/>
      </c>
      <c r="E12" s="13">
        <f>IF(A12=2026,Assumptions!$B$9,0)+IF(A12=Assumptions!$B$11,Assumptions!$B$10,0)</f>
        <v/>
      </c>
      <c r="F12" s="15">
        <f>B12-C12-D12+E12</f>
        <v/>
      </c>
      <c r="G12" s="15">
        <f>G11+F12</f>
        <v/>
      </c>
      <c r="H12" s="16">
        <f>IF(G12&lt;0,"NEGATIVE","OK")</f>
        <v/>
      </c>
    </row>
    <row r="13">
      <c r="A13" s="11" t="n">
        <v>2037</v>
      </c>
      <c r="B13" s="13">
        <f>Revenue!F13</f>
        <v/>
      </c>
      <c r="C13" s="13">
        <f>Expenses!K13</f>
        <v/>
      </c>
      <c r="D13" s="13">
        <f>Capex!B13</f>
        <v/>
      </c>
      <c r="E13" s="13">
        <f>IF(A13=2026,Assumptions!$B$9,0)+IF(A13=Assumptions!$B$11,Assumptions!$B$10,0)</f>
        <v/>
      </c>
      <c r="F13" s="15">
        <f>B13-C13-D13+E13</f>
        <v/>
      </c>
      <c r="G13" s="15">
        <f>G12+F13</f>
        <v/>
      </c>
      <c r="H13" s="16">
        <f>IF(G13&lt;0,"NEGATIVE","OK")</f>
        <v/>
      </c>
    </row>
    <row r="14">
      <c r="A14" s="11" t="n">
        <v>2038</v>
      </c>
      <c r="B14" s="13">
        <f>Revenue!F14</f>
        <v/>
      </c>
      <c r="C14" s="13">
        <f>Expenses!K14</f>
        <v/>
      </c>
      <c r="D14" s="13">
        <f>Capex!B14</f>
        <v/>
      </c>
      <c r="E14" s="13">
        <f>IF(A14=2026,Assumptions!$B$9,0)+IF(A14=Assumptions!$B$11,Assumptions!$B$10,0)</f>
        <v/>
      </c>
      <c r="F14" s="15">
        <f>B14-C14-D14+E14</f>
        <v/>
      </c>
      <c r="G14" s="15">
        <f>G13+F14</f>
        <v/>
      </c>
      <c r="H14" s="16">
        <f>IF(G14&lt;0,"NEGATIVE","OK")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7" t="inlineStr">
        <is>
          <t>Year</t>
        </is>
      </c>
      <c r="B1" s="7" t="inlineStr">
        <is>
          <t>Revenue</t>
        </is>
      </c>
      <c r="C1" s="7" t="inlineStr">
        <is>
          <t>Expenses</t>
        </is>
      </c>
      <c r="D1" s="7" t="inlineStr">
        <is>
          <t>Capex</t>
        </is>
      </c>
      <c r="E1" s="7" t="inlineStr">
        <is>
          <t>Net Income</t>
        </is>
      </c>
      <c r="F1" s="7" t="inlineStr">
        <is>
          <t>Investor Div</t>
        </is>
      </c>
      <c r="G1" s="7" t="inlineStr">
        <is>
          <t>Ofir Div</t>
        </is>
      </c>
      <c r="H1" s="7" t="inlineStr">
        <is>
          <t>Rick Div</t>
        </is>
      </c>
      <c r="I1" s="7" t="inlineStr">
        <is>
          <t>Juan Div</t>
        </is>
      </c>
      <c r="J1" s="7" t="inlineStr">
        <is>
          <t>Diego Div</t>
        </is>
      </c>
      <c r="K1" s="7" t="inlineStr">
        <is>
          <t>Total Dividends</t>
        </is>
      </c>
    </row>
    <row r="2">
      <c r="A2" s="11" t="n">
        <v>2026</v>
      </c>
      <c r="B2" s="13">
        <f>Revenue!F2</f>
        <v/>
      </c>
      <c r="C2" s="13">
        <f>Expenses!K2</f>
        <v/>
      </c>
      <c r="D2" s="13">
        <f>Capex!B2</f>
        <v/>
      </c>
      <c r="E2" s="15">
        <f>B2-C2-D2</f>
        <v/>
      </c>
      <c r="F2" s="17">
        <f>IF(AND(A2&gt;=Assumptions!$B$20,E2&gt;0),E2*Assumptions!$B$23,0)</f>
        <v/>
      </c>
      <c r="G2" s="17">
        <f>IF(AND(A2&gt;=Assumptions!$B$20,E2&gt;0),E2*Assumptions!$B$24,0)</f>
        <v/>
      </c>
      <c r="H2" s="17">
        <f>IF(AND(A2&gt;=Assumptions!$B$20,E2&gt;0),E2*Assumptions!$B$25,0)</f>
        <v/>
      </c>
      <c r="I2" s="17">
        <f>IF(AND(A2&gt;=Assumptions!$B$20,E2&gt;0),E2*Assumptions!$B$26,0)</f>
        <v/>
      </c>
      <c r="J2" s="17">
        <f>IF(AND(A2&gt;=Assumptions!$B$20,E2&gt;0),E2*Assumptions!$B$27,0)</f>
        <v/>
      </c>
      <c r="K2" s="10">
        <f>SUM(F2:J2)</f>
        <v/>
      </c>
    </row>
    <row r="3">
      <c r="A3" s="11" t="n">
        <v>2027</v>
      </c>
      <c r="B3" s="13">
        <f>Revenue!F3</f>
        <v/>
      </c>
      <c r="C3" s="13">
        <f>Expenses!K3</f>
        <v/>
      </c>
      <c r="D3" s="13">
        <f>Capex!B3</f>
        <v/>
      </c>
      <c r="E3" s="15">
        <f>B3-C3-D3</f>
        <v/>
      </c>
      <c r="F3" s="17">
        <f>IF(AND(A3&gt;=Assumptions!$B$20,E3&gt;0),E3*Assumptions!$B$23,0)</f>
        <v/>
      </c>
      <c r="G3" s="17">
        <f>IF(AND(A3&gt;=Assumptions!$B$20,E3&gt;0),E3*Assumptions!$B$24,0)</f>
        <v/>
      </c>
      <c r="H3" s="17">
        <f>IF(AND(A3&gt;=Assumptions!$B$20,E3&gt;0),E3*Assumptions!$B$25,0)</f>
        <v/>
      </c>
      <c r="I3" s="17">
        <f>IF(AND(A3&gt;=Assumptions!$B$20,E3&gt;0),E3*Assumptions!$B$26,0)</f>
        <v/>
      </c>
      <c r="J3" s="17">
        <f>IF(AND(A3&gt;=Assumptions!$B$20,E3&gt;0),E3*Assumptions!$B$27,0)</f>
        <v/>
      </c>
      <c r="K3" s="10">
        <f>SUM(F3:J3)</f>
        <v/>
      </c>
    </row>
    <row r="4">
      <c r="A4" s="11" t="n">
        <v>2028</v>
      </c>
      <c r="B4" s="13">
        <f>Revenue!F4</f>
        <v/>
      </c>
      <c r="C4" s="13">
        <f>Expenses!K4</f>
        <v/>
      </c>
      <c r="D4" s="13">
        <f>Capex!B4</f>
        <v/>
      </c>
      <c r="E4" s="15">
        <f>B4-C4-D4</f>
        <v/>
      </c>
      <c r="F4" s="17">
        <f>IF(AND(A4&gt;=Assumptions!$B$20,E4&gt;0),E4*Assumptions!$B$23,0)</f>
        <v/>
      </c>
      <c r="G4" s="17">
        <f>IF(AND(A4&gt;=Assumptions!$B$20,E4&gt;0),E4*Assumptions!$B$24,0)</f>
        <v/>
      </c>
      <c r="H4" s="17">
        <f>IF(AND(A4&gt;=Assumptions!$B$20,E4&gt;0),E4*Assumptions!$B$25,0)</f>
        <v/>
      </c>
      <c r="I4" s="17">
        <f>IF(AND(A4&gt;=Assumptions!$B$20,E4&gt;0),E4*Assumptions!$B$26,0)</f>
        <v/>
      </c>
      <c r="J4" s="17">
        <f>IF(AND(A4&gt;=Assumptions!$B$20,E4&gt;0),E4*Assumptions!$B$27,0)</f>
        <v/>
      </c>
      <c r="K4" s="10">
        <f>SUM(F4:J4)</f>
        <v/>
      </c>
    </row>
    <row r="5">
      <c r="A5" s="11" t="n">
        <v>2029</v>
      </c>
      <c r="B5" s="13">
        <f>Revenue!F5</f>
        <v/>
      </c>
      <c r="C5" s="13">
        <f>Expenses!K5</f>
        <v/>
      </c>
      <c r="D5" s="13">
        <f>Capex!B5</f>
        <v/>
      </c>
      <c r="E5" s="15">
        <f>B5-C5-D5</f>
        <v/>
      </c>
      <c r="F5" s="17">
        <f>IF(AND(A5&gt;=Assumptions!$B$20,E5&gt;0),E5*Assumptions!$B$23,0)</f>
        <v/>
      </c>
      <c r="G5" s="17">
        <f>IF(AND(A5&gt;=Assumptions!$B$20,E5&gt;0),E5*Assumptions!$B$24,0)</f>
        <v/>
      </c>
      <c r="H5" s="17">
        <f>IF(AND(A5&gt;=Assumptions!$B$20,E5&gt;0),E5*Assumptions!$B$25,0)</f>
        <v/>
      </c>
      <c r="I5" s="17">
        <f>IF(AND(A5&gt;=Assumptions!$B$20,E5&gt;0),E5*Assumptions!$B$26,0)</f>
        <v/>
      </c>
      <c r="J5" s="17">
        <f>IF(AND(A5&gt;=Assumptions!$B$20,E5&gt;0),E5*Assumptions!$B$27,0)</f>
        <v/>
      </c>
      <c r="K5" s="10">
        <f>SUM(F5:J5)</f>
        <v/>
      </c>
    </row>
    <row r="6">
      <c r="A6" s="11" t="n">
        <v>2030</v>
      </c>
      <c r="B6" s="13">
        <f>Revenue!F6</f>
        <v/>
      </c>
      <c r="C6" s="13">
        <f>Expenses!K6</f>
        <v/>
      </c>
      <c r="D6" s="13">
        <f>Capex!B6</f>
        <v/>
      </c>
      <c r="E6" s="15">
        <f>B6-C6-D6</f>
        <v/>
      </c>
      <c r="F6" s="17">
        <f>IF(AND(A6&gt;=Assumptions!$B$20,E6&gt;0),E6*Assumptions!$B$23,0)</f>
        <v/>
      </c>
      <c r="G6" s="17">
        <f>IF(AND(A6&gt;=Assumptions!$B$20,E6&gt;0),E6*Assumptions!$B$24,0)</f>
        <v/>
      </c>
      <c r="H6" s="17">
        <f>IF(AND(A6&gt;=Assumptions!$B$20,E6&gt;0),E6*Assumptions!$B$25,0)</f>
        <v/>
      </c>
      <c r="I6" s="17">
        <f>IF(AND(A6&gt;=Assumptions!$B$20,E6&gt;0),E6*Assumptions!$B$26,0)</f>
        <v/>
      </c>
      <c r="J6" s="17">
        <f>IF(AND(A6&gt;=Assumptions!$B$20,E6&gt;0),E6*Assumptions!$B$27,0)</f>
        <v/>
      </c>
      <c r="K6" s="10">
        <f>SUM(F6:J6)</f>
        <v/>
      </c>
    </row>
    <row r="7">
      <c r="A7" s="11" t="n">
        <v>2031</v>
      </c>
      <c r="B7" s="13">
        <f>Revenue!F7</f>
        <v/>
      </c>
      <c r="C7" s="13">
        <f>Expenses!K7</f>
        <v/>
      </c>
      <c r="D7" s="13">
        <f>Capex!B7</f>
        <v/>
      </c>
      <c r="E7" s="15">
        <f>B7-C7-D7</f>
        <v/>
      </c>
      <c r="F7" s="17">
        <f>IF(AND(A7&gt;=Assumptions!$B$20,E7&gt;0),E7*Assumptions!$B$23,0)</f>
        <v/>
      </c>
      <c r="G7" s="17">
        <f>IF(AND(A7&gt;=Assumptions!$B$20,E7&gt;0),E7*Assumptions!$B$24,0)</f>
        <v/>
      </c>
      <c r="H7" s="17">
        <f>IF(AND(A7&gt;=Assumptions!$B$20,E7&gt;0),E7*Assumptions!$B$25,0)</f>
        <v/>
      </c>
      <c r="I7" s="17">
        <f>IF(AND(A7&gt;=Assumptions!$B$20,E7&gt;0),E7*Assumptions!$B$26,0)</f>
        <v/>
      </c>
      <c r="J7" s="17">
        <f>IF(AND(A7&gt;=Assumptions!$B$20,E7&gt;0),E7*Assumptions!$B$27,0)</f>
        <v/>
      </c>
      <c r="K7" s="10">
        <f>SUM(F7:J7)</f>
        <v/>
      </c>
    </row>
    <row r="8">
      <c r="A8" s="11" t="n">
        <v>2032</v>
      </c>
      <c r="B8" s="13">
        <f>Revenue!F8</f>
        <v/>
      </c>
      <c r="C8" s="13">
        <f>Expenses!K8</f>
        <v/>
      </c>
      <c r="D8" s="13">
        <f>Capex!B8</f>
        <v/>
      </c>
      <c r="E8" s="15">
        <f>B8-C8-D8</f>
        <v/>
      </c>
      <c r="F8" s="17">
        <f>IF(AND(A8&gt;=Assumptions!$B$20,E8&gt;0),E8*Assumptions!$B$23,0)</f>
        <v/>
      </c>
      <c r="G8" s="17">
        <f>IF(AND(A8&gt;=Assumptions!$B$20,E8&gt;0),E8*Assumptions!$B$24,0)</f>
        <v/>
      </c>
      <c r="H8" s="17">
        <f>IF(AND(A8&gt;=Assumptions!$B$20,E8&gt;0),E8*Assumptions!$B$25,0)</f>
        <v/>
      </c>
      <c r="I8" s="17">
        <f>IF(AND(A8&gt;=Assumptions!$B$20,E8&gt;0),E8*Assumptions!$B$26,0)</f>
        <v/>
      </c>
      <c r="J8" s="17">
        <f>IF(AND(A8&gt;=Assumptions!$B$20,E8&gt;0),E8*Assumptions!$B$27,0)</f>
        <v/>
      </c>
      <c r="K8" s="10">
        <f>SUM(F8:J8)</f>
        <v/>
      </c>
    </row>
    <row r="9">
      <c r="A9" s="11" t="n">
        <v>2033</v>
      </c>
      <c r="B9" s="13">
        <f>Revenue!F9</f>
        <v/>
      </c>
      <c r="C9" s="13">
        <f>Expenses!K9</f>
        <v/>
      </c>
      <c r="D9" s="13">
        <f>Capex!B9</f>
        <v/>
      </c>
      <c r="E9" s="15">
        <f>B9-C9-D9</f>
        <v/>
      </c>
      <c r="F9" s="17">
        <f>IF(AND(A9&gt;=Assumptions!$B$20,E9&gt;0),E9*Assumptions!$B$23,0)</f>
        <v/>
      </c>
      <c r="G9" s="17">
        <f>IF(AND(A9&gt;=Assumptions!$B$20,E9&gt;0),E9*Assumptions!$B$24,0)</f>
        <v/>
      </c>
      <c r="H9" s="17">
        <f>IF(AND(A9&gt;=Assumptions!$B$20,E9&gt;0),E9*Assumptions!$B$25,0)</f>
        <v/>
      </c>
      <c r="I9" s="17">
        <f>IF(AND(A9&gt;=Assumptions!$B$20,E9&gt;0),E9*Assumptions!$B$26,0)</f>
        <v/>
      </c>
      <c r="J9" s="17">
        <f>IF(AND(A9&gt;=Assumptions!$B$20,E9&gt;0),E9*Assumptions!$B$27,0)</f>
        <v/>
      </c>
      <c r="K9" s="10">
        <f>SUM(F9:J9)</f>
        <v/>
      </c>
    </row>
    <row r="10">
      <c r="A10" s="11" t="n">
        <v>2034</v>
      </c>
      <c r="B10" s="13">
        <f>Revenue!F10</f>
        <v/>
      </c>
      <c r="C10" s="13">
        <f>Expenses!K10</f>
        <v/>
      </c>
      <c r="D10" s="13">
        <f>Capex!B10</f>
        <v/>
      </c>
      <c r="E10" s="15">
        <f>B10-C10-D10</f>
        <v/>
      </c>
      <c r="F10" s="17">
        <f>IF(AND(A10&gt;=Assumptions!$B$20,E10&gt;0),E10*Assumptions!$B$23,0)</f>
        <v/>
      </c>
      <c r="G10" s="17">
        <f>IF(AND(A10&gt;=Assumptions!$B$20,E10&gt;0),E10*Assumptions!$B$24,0)</f>
        <v/>
      </c>
      <c r="H10" s="17">
        <f>IF(AND(A10&gt;=Assumptions!$B$20,E10&gt;0),E10*Assumptions!$B$25,0)</f>
        <v/>
      </c>
      <c r="I10" s="17">
        <f>IF(AND(A10&gt;=Assumptions!$B$20,E10&gt;0),E10*Assumptions!$B$26,0)</f>
        <v/>
      </c>
      <c r="J10" s="17">
        <f>IF(AND(A10&gt;=Assumptions!$B$20,E10&gt;0),E10*Assumptions!$B$27,0)</f>
        <v/>
      </c>
      <c r="K10" s="10">
        <f>SUM(F10:J10)</f>
        <v/>
      </c>
    </row>
    <row r="11">
      <c r="A11" s="11" t="n">
        <v>2035</v>
      </c>
      <c r="B11" s="13">
        <f>Revenue!F11</f>
        <v/>
      </c>
      <c r="C11" s="13">
        <f>Expenses!K11</f>
        <v/>
      </c>
      <c r="D11" s="13">
        <f>Capex!B11</f>
        <v/>
      </c>
      <c r="E11" s="15">
        <f>B11-C11-D11</f>
        <v/>
      </c>
      <c r="F11" s="17">
        <f>IF(AND(A11&gt;=Assumptions!$B$20,E11&gt;0),E11*Assumptions!$B$23,0)</f>
        <v/>
      </c>
      <c r="G11" s="17">
        <f>IF(AND(A11&gt;=Assumptions!$B$20,E11&gt;0),E11*Assumptions!$B$24,0)</f>
        <v/>
      </c>
      <c r="H11" s="17">
        <f>IF(AND(A11&gt;=Assumptions!$B$20,E11&gt;0),E11*Assumptions!$B$25,0)</f>
        <v/>
      </c>
      <c r="I11" s="17">
        <f>IF(AND(A11&gt;=Assumptions!$B$20,E11&gt;0),E11*Assumptions!$B$26,0)</f>
        <v/>
      </c>
      <c r="J11" s="17">
        <f>IF(AND(A11&gt;=Assumptions!$B$20,E11&gt;0),E11*Assumptions!$B$27,0)</f>
        <v/>
      </c>
      <c r="K11" s="10">
        <f>SUM(F11:J11)</f>
        <v/>
      </c>
    </row>
    <row r="12">
      <c r="A12" s="11" t="n">
        <v>2036</v>
      </c>
      <c r="B12" s="13">
        <f>Revenue!F12</f>
        <v/>
      </c>
      <c r="C12" s="13">
        <f>Expenses!K12</f>
        <v/>
      </c>
      <c r="D12" s="13">
        <f>Capex!B12</f>
        <v/>
      </c>
      <c r="E12" s="15">
        <f>B12-C12-D12</f>
        <v/>
      </c>
      <c r="F12" s="17">
        <f>IF(AND(A12&gt;=Assumptions!$B$20,E12&gt;0),E12*Assumptions!$B$23,0)</f>
        <v/>
      </c>
      <c r="G12" s="17">
        <f>IF(AND(A12&gt;=Assumptions!$B$20,E12&gt;0),E12*Assumptions!$B$24,0)</f>
        <v/>
      </c>
      <c r="H12" s="17">
        <f>IF(AND(A12&gt;=Assumptions!$B$20,E12&gt;0),E12*Assumptions!$B$25,0)</f>
        <v/>
      </c>
      <c r="I12" s="17">
        <f>IF(AND(A12&gt;=Assumptions!$B$20,E12&gt;0),E12*Assumptions!$B$26,0)</f>
        <v/>
      </c>
      <c r="J12" s="17">
        <f>IF(AND(A12&gt;=Assumptions!$B$20,E12&gt;0),E12*Assumptions!$B$27,0)</f>
        <v/>
      </c>
      <c r="K12" s="10">
        <f>SUM(F12:J12)</f>
        <v/>
      </c>
    </row>
    <row r="13">
      <c r="A13" s="11" t="n">
        <v>2037</v>
      </c>
      <c r="B13" s="13">
        <f>Revenue!F13</f>
        <v/>
      </c>
      <c r="C13" s="13">
        <f>Expenses!K13</f>
        <v/>
      </c>
      <c r="D13" s="13">
        <f>Capex!B13</f>
        <v/>
      </c>
      <c r="E13" s="15">
        <f>B13-C13-D13</f>
        <v/>
      </c>
      <c r="F13" s="17">
        <f>IF(AND(A13&gt;=Assumptions!$B$20,E13&gt;0),E13*Assumptions!$B$23,0)</f>
        <v/>
      </c>
      <c r="G13" s="17">
        <f>IF(AND(A13&gt;=Assumptions!$B$20,E13&gt;0),E13*Assumptions!$B$24,0)</f>
        <v/>
      </c>
      <c r="H13" s="17">
        <f>IF(AND(A13&gt;=Assumptions!$B$20,E13&gt;0),E13*Assumptions!$B$25,0)</f>
        <v/>
      </c>
      <c r="I13" s="17">
        <f>IF(AND(A13&gt;=Assumptions!$B$20,E13&gt;0),E13*Assumptions!$B$26,0)</f>
        <v/>
      </c>
      <c r="J13" s="17">
        <f>IF(AND(A13&gt;=Assumptions!$B$20,E13&gt;0),E13*Assumptions!$B$27,0)</f>
        <v/>
      </c>
      <c r="K13" s="10">
        <f>SUM(F13:J13)</f>
        <v/>
      </c>
    </row>
    <row r="14">
      <c r="A14" s="11" t="n">
        <v>2038</v>
      </c>
      <c r="B14" s="13">
        <f>Revenue!F14</f>
        <v/>
      </c>
      <c r="C14" s="13">
        <f>Expenses!K14</f>
        <v/>
      </c>
      <c r="D14" s="13">
        <f>Capex!B14</f>
        <v/>
      </c>
      <c r="E14" s="15">
        <f>B14-C14-D14</f>
        <v/>
      </c>
      <c r="F14" s="17">
        <f>IF(AND(A14&gt;=Assumptions!$B$20,E14&gt;0),E14*Assumptions!$B$23,0)</f>
        <v/>
      </c>
      <c r="G14" s="17">
        <f>IF(AND(A14&gt;=Assumptions!$B$20,E14&gt;0),E14*Assumptions!$B$24,0)</f>
        <v/>
      </c>
      <c r="H14" s="17">
        <f>IF(AND(A14&gt;=Assumptions!$B$20,E14&gt;0),E14*Assumptions!$B$25,0)</f>
        <v/>
      </c>
      <c r="I14" s="17">
        <f>IF(AND(A14&gt;=Assumptions!$B$20,E14&gt;0),E14*Assumptions!$B$26,0)</f>
        <v/>
      </c>
      <c r="J14" s="17">
        <f>IF(AND(A14&gt;=Assumptions!$B$20,E14&gt;0),E14*Assumptions!$B$27,0)</f>
        <v/>
      </c>
      <c r="K14" s="10">
        <f>SUM(F14:J14)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SENSITIVITY ANALYSIS: Revenue by Yield Scenario</t>
        </is>
      </c>
    </row>
    <row r="2">
      <c r="A2" s="7" t="inlineStr">
        <is>
          <t>Year</t>
        </is>
      </c>
      <c r="B2" s="7" t="inlineStr">
        <is>
          <t>Conservative (1,000/ha)</t>
        </is>
      </c>
      <c r="C2" s="7" t="inlineStr">
        <is>
          <t>Base (2,000/ha)</t>
        </is>
      </c>
      <c r="D2" s="7" t="inlineStr">
        <is>
          <t>Optimistic (3,000/ha)</t>
        </is>
      </c>
      <c r="E2" s="7" t="inlineStr">
        <is>
          <t>Cons. Cum Profit</t>
        </is>
      </c>
      <c r="F2" s="7" t="inlineStr">
        <is>
          <t>Base Cum Profit</t>
        </is>
      </c>
      <c r="G2" s="7" t="inlineStr">
        <is>
          <t>Opt. Cum Profit</t>
        </is>
      </c>
    </row>
    <row r="3">
      <c r="A3" s="11" t="n">
        <v>2026</v>
      </c>
      <c r="B3" s="9" t="n">
        <v>340000</v>
      </c>
      <c r="C3" s="9" t="n">
        <v>340000</v>
      </c>
      <c r="D3" s="9" t="n">
        <v>340000</v>
      </c>
    </row>
    <row r="4">
      <c r="A4" s="11" t="n">
        <v>2027</v>
      </c>
      <c r="B4" s="9" t="n">
        <v>1020000</v>
      </c>
      <c r="C4" s="9" t="n">
        <v>1020000</v>
      </c>
      <c r="D4" s="9" t="n">
        <v>1020000</v>
      </c>
    </row>
    <row r="5">
      <c r="A5" s="11" t="n">
        <v>2028</v>
      </c>
      <c r="B5" s="9" t="n">
        <v>2040000</v>
      </c>
      <c r="C5" s="9" t="n">
        <v>2040000</v>
      </c>
      <c r="D5" s="9" t="n">
        <v>2040000</v>
      </c>
    </row>
    <row r="6">
      <c r="A6" s="11" t="n">
        <v>2029</v>
      </c>
      <c r="B6" s="9" t="n">
        <v>4080000</v>
      </c>
      <c r="C6" s="9" t="n">
        <v>4080000</v>
      </c>
      <c r="D6" s="9" t="n">
        <v>4080000</v>
      </c>
    </row>
    <row r="7">
      <c r="A7" s="11" t="n">
        <v>2030</v>
      </c>
      <c r="B7" s="9" t="n">
        <v>6120000</v>
      </c>
      <c r="C7" s="9" t="n">
        <v>6120000</v>
      </c>
      <c r="D7" s="9" t="n">
        <v>6120000</v>
      </c>
    </row>
    <row r="8">
      <c r="A8" s="11" t="n">
        <v>2031</v>
      </c>
      <c r="B8" s="9" t="n">
        <v>7820000</v>
      </c>
      <c r="C8" s="9" t="n">
        <v>9520000</v>
      </c>
      <c r="D8" s="9" t="n">
        <v>11220000</v>
      </c>
    </row>
    <row r="9">
      <c r="A9" s="11" t="n">
        <v>2032</v>
      </c>
      <c r="B9" s="9" t="n">
        <v>11644800</v>
      </c>
      <c r="C9" s="9" t="n">
        <v>17170000</v>
      </c>
      <c r="D9" s="9" t="n">
        <v>22694800</v>
      </c>
    </row>
    <row r="10">
      <c r="A10" s="11" t="n">
        <v>2033</v>
      </c>
      <c r="B10" s="9" t="n">
        <v>19294800</v>
      </c>
      <c r="C10" s="9" t="n">
        <v>32470000</v>
      </c>
      <c r="D10" s="9" t="n">
        <v>45644800</v>
      </c>
    </row>
    <row r="11">
      <c r="A11" s="11" t="n">
        <v>2034</v>
      </c>
      <c r="B11" s="9" t="n">
        <v>28220000</v>
      </c>
      <c r="C11" s="9" t="n">
        <v>50320000</v>
      </c>
      <c r="D11" s="9" t="n">
        <v>72420000</v>
      </c>
    </row>
    <row r="12">
      <c r="A12" s="11" t="n">
        <v>2035</v>
      </c>
      <c r="B12" s="9" t="n">
        <v>37994800</v>
      </c>
      <c r="C12" s="9" t="n">
        <v>69870000</v>
      </c>
      <c r="D12" s="9" t="n">
        <v>101744800</v>
      </c>
    </row>
    <row r="13">
      <c r="A13" s="11" t="n">
        <v>2036</v>
      </c>
      <c r="B13" s="9" t="n">
        <v>49044800</v>
      </c>
      <c r="C13" s="9" t="n">
        <v>91970000</v>
      </c>
      <c r="D13" s="9" t="n">
        <v>134894800</v>
      </c>
    </row>
    <row r="14">
      <c r="A14" s="11" t="n">
        <v>2037</v>
      </c>
      <c r="B14" s="9" t="n">
        <v>58820000</v>
      </c>
      <c r="C14" s="9" t="n">
        <v>111520000</v>
      </c>
      <c r="D14" s="9" t="n">
        <v>164220000</v>
      </c>
    </row>
    <row r="15">
      <c r="A15" s="11" t="n">
        <v>2038</v>
      </c>
      <c r="B15" s="9" t="n">
        <v>65620000</v>
      </c>
      <c r="C15" s="9" t="n">
        <v>125120000</v>
      </c>
      <c r="D15" s="9" t="n">
        <v>184620000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2026-03-30T02:50:33Z</dcterms:created>
  <dcterms:modified xmlns:dcterms="http://purl.org/dc/terms/" xmlns:xsi="http://www.w3.org/2001/XMLSchema-instance" xsi:type="dcterms:W3CDTF">2026-03-30T04:39:47Z</dcterms:modified>
</cp:coreProperties>
</file>